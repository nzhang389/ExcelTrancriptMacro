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180" windowWidth="1980" windowHeight="9255"/>
  </bookViews>
  <sheets>
    <sheet name="Major check" sheetId="1" r:id="rId1"/>
    <sheet name="Resources" sheetId="5" r:id="rId2"/>
    <sheet name="Pulldown Tabs" sheetId="4" r:id="rId3"/>
    <sheet name="Trancscript" sheetId="3" r:id="rId4"/>
  </sheets>
  <functionGroups builtInGroupCount="17"/>
  <definedNames>
    <definedName name="_xlnm._FilterDatabase" localSheetId="2" hidden="1">'Pulldown Tabs'!$A$39:$J$107</definedName>
    <definedName name="CatalogYear">'Pulldown Tabs'!$D$2:$D$14</definedName>
    <definedName name="Chair">'Pulldown Tabs'!$E$2:$E$6</definedName>
    <definedName name="_xlnm.Criteria" localSheetId="2">'Pulldown Tabs'!$A$1:$A$35</definedName>
    <definedName name="Electives">#REF!</definedName>
    <definedName name="Faculty">'Pulldown Tabs'!$A$2:$A$13</definedName>
    <definedName name="FacultyList">#REF!</definedName>
    <definedName name="FacultyListSpace">#REF!</definedName>
    <definedName name="GradeList">#REF!</definedName>
    <definedName name="GradYear">'Pulldown Tabs'!$C$2:$C$13</definedName>
    <definedName name="Option">'Pulldown Tabs'!$B$2:$B$7</definedName>
    <definedName name="OptionList">#REF!</definedName>
    <definedName name="Options">'Pulldown Tabs'!$B$2:$B$4</definedName>
    <definedName name="_xlnm.Print_Area" localSheetId="0">'Major check'!$A$1:$O$56</definedName>
    <definedName name="PSYCH">#REF!</definedName>
    <definedName name="SOC">#REF!</definedName>
    <definedName name="SSC">'Pulldown Tabs'!$F$1:$F$6</definedName>
    <definedName name="Transcript">Trancscript!$A:$E</definedName>
  </definedNames>
  <calcPr calcId="144525" concurrentCalc="0"/>
</workbook>
</file>

<file path=xl/calcChain.xml><?xml version="1.0" encoding="utf-8"?>
<calcChain xmlns="http://schemas.openxmlformats.org/spreadsheetml/2006/main">
  <c r="G40" i="1" l="1"/>
  <c r="E40" i="1"/>
  <c r="D40" i="1"/>
  <c r="C40" i="1"/>
  <c r="B23" i="1"/>
  <c r="C26" i="1"/>
  <c r="E30" i="1"/>
  <c r="E31" i="1"/>
  <c r="E24" i="1"/>
  <c r="E25" i="1"/>
  <c r="E26" i="1"/>
  <c r="E27" i="1"/>
  <c r="E28" i="1"/>
  <c r="E18" i="1"/>
  <c r="E19" i="1"/>
  <c r="E20" i="1"/>
  <c r="E21" i="1"/>
  <c r="E11" i="1"/>
  <c r="E12" i="1"/>
  <c r="E13" i="1"/>
  <c r="E14" i="1"/>
  <c r="E15" i="1"/>
  <c r="E16" i="1"/>
  <c r="E6" i="1"/>
  <c r="E7" i="1"/>
  <c r="E8" i="1"/>
  <c r="C25" i="1"/>
  <c r="C21" i="1"/>
  <c r="C20" i="1"/>
  <c r="C19" i="1"/>
  <c r="C18" i="1"/>
  <c r="C14" i="1"/>
  <c r="C13" i="1"/>
  <c r="E70" i="3"/>
  <c r="E69" i="3"/>
  <c r="E68" i="3"/>
  <c r="E67" i="3"/>
  <c r="E66" i="3"/>
  <c r="E65" i="3"/>
  <c r="E64" i="3"/>
  <c r="E63" i="3"/>
  <c r="E62" i="3"/>
  <c r="E61" i="3"/>
  <c r="E60" i="3"/>
  <c r="E59" i="3"/>
  <c r="E58" i="3"/>
  <c r="E57" i="3"/>
  <c r="E56" i="3"/>
  <c r="E55" i="3"/>
  <c r="E54" i="3"/>
  <c r="E53" i="3"/>
  <c r="E52" i="3"/>
  <c r="E51" i="3"/>
  <c r="E50" i="3"/>
  <c r="E49" i="3"/>
  <c r="E48" i="3"/>
  <c r="E47" i="3"/>
  <c r="E46" i="3"/>
  <c r="E45" i="3"/>
  <c r="E44" i="3"/>
  <c r="E43" i="3"/>
  <c r="E42" i="3"/>
  <c r="E41" i="3"/>
  <c r="E40" i="3"/>
  <c r="E39" i="3"/>
  <c r="E38" i="3"/>
  <c r="E37" i="3"/>
  <c r="E36" i="3"/>
  <c r="E35" i="3"/>
  <c r="E34" i="3"/>
  <c r="E33" i="3"/>
  <c r="E32" i="3"/>
  <c r="E31" i="3"/>
  <c r="E30" i="3"/>
  <c r="E29" i="3"/>
  <c r="E28" i="3"/>
  <c r="E27" i="3"/>
  <c r="E26" i="3"/>
  <c r="E25" i="3"/>
  <c r="E24" i="3"/>
  <c r="E23" i="3"/>
  <c r="E22" i="3"/>
  <c r="E21" i="3"/>
  <c r="E20" i="3"/>
  <c r="E19" i="3"/>
  <c r="E18" i="3"/>
  <c r="E17" i="3"/>
  <c r="E16" i="3"/>
  <c r="E15" i="3"/>
  <c r="E14" i="3"/>
  <c r="E13" i="3"/>
  <c r="E12" i="3"/>
  <c r="E11" i="3"/>
  <c r="E10" i="3"/>
  <c r="E9" i="3"/>
  <c r="E8" i="3"/>
  <c r="E7" i="3"/>
  <c r="E6" i="3"/>
  <c r="E5" i="3"/>
  <c r="E4" i="3"/>
  <c r="C28" i="1"/>
  <c r="C27" i="1"/>
  <c r="D17" i="1"/>
  <c r="C6" i="1"/>
  <c r="C31" i="1"/>
  <c r="C30" i="1"/>
  <c r="C24" i="1"/>
  <c r="C7" i="1"/>
  <c r="C8" i="1"/>
  <c r="C11" i="1"/>
  <c r="C12" i="1"/>
  <c r="C15" i="1"/>
  <c r="C16" i="1"/>
  <c r="D22" i="1"/>
  <c r="E29" i="1"/>
  <c r="E9" i="1"/>
  <c r="E17" i="1"/>
  <c r="E22" i="1"/>
  <c r="E32" i="1"/>
  <c r="E33" i="1"/>
</calcChain>
</file>

<file path=xl/sharedStrings.xml><?xml version="1.0" encoding="utf-8"?>
<sst xmlns="http://schemas.openxmlformats.org/spreadsheetml/2006/main" count="463" uniqueCount="281">
  <si>
    <t>Grade</t>
  </si>
  <si>
    <t>Quarter Units</t>
  </si>
  <si>
    <t>Requirements</t>
  </si>
  <si>
    <t>12 Units</t>
  </si>
  <si>
    <t>Substitution Approval</t>
  </si>
  <si>
    <t>Student ID or NetID:</t>
  </si>
  <si>
    <t>Course Title</t>
  </si>
  <si>
    <t>Fall</t>
  </si>
  <si>
    <t>Spring</t>
  </si>
  <si>
    <t>Summer</t>
  </si>
  <si>
    <t>Option:</t>
  </si>
  <si>
    <t>Year of Graduation:</t>
  </si>
  <si>
    <t>College name 
if not taken at CSUEB</t>
  </si>
  <si>
    <t>Course Prefix &amp; Number</t>
  </si>
  <si>
    <t>Quarter and Year</t>
  </si>
  <si>
    <t>16 Units</t>
  </si>
  <si>
    <r>
      <t xml:space="preserve">                                   </t>
    </r>
    <r>
      <rPr>
        <sz val="14"/>
        <color indexed="8"/>
        <rFont val="Calibri"/>
        <family val="2"/>
      </rPr>
      <t xml:space="preserve">CATALOG YEAR: </t>
    </r>
  </si>
  <si>
    <t>Course</t>
  </si>
  <si>
    <t>Description</t>
  </si>
  <si>
    <t>Term</t>
  </si>
  <si>
    <t>Units</t>
  </si>
  <si>
    <t>Grd Points</t>
  </si>
  <si>
    <t>Repeat Code</t>
  </si>
  <si>
    <t>Reqmnt Desig</t>
  </si>
  <si>
    <t>VVV1</t>
  </si>
  <si>
    <t>END</t>
  </si>
  <si>
    <t>Place cursor on this cell and paste transcript</t>
  </si>
  <si>
    <t>After pasting the transcript, click on the CommandButton1 (on the right of screen), to start the program.</t>
  </si>
  <si>
    <t>A1- Oral Communication</t>
  </si>
  <si>
    <t>Fall Quarter 2012</t>
  </si>
  <si>
    <t>#</t>
  </si>
  <si>
    <t>C1 - Fine Arts</t>
  </si>
  <si>
    <t>Note:</t>
  </si>
  <si>
    <t>Title of the first section requirement.  It will cover the first section in the major check form.</t>
  </si>
  <si>
    <t>0 means the list of course below it are all required.  No electives in the list.  All courses in the list will be copied in the major check form.</t>
  </si>
  <si>
    <t>1, 2, 3, etc.</t>
  </si>
  <si>
    <t>any number (1, 2, 3, etc.) indicates the number of courses to be selected from the list of the elective courses below that number.</t>
  </si>
  <si>
    <t xml:space="preserve"># indicates the end of the list search above the # mark.  </t>
  </si>
  <si>
    <t>Faculty</t>
  </si>
  <si>
    <t>Options</t>
  </si>
  <si>
    <t>Grad Year</t>
  </si>
  <si>
    <t>Catalog Year</t>
  </si>
  <si>
    <t>2002-2004</t>
  </si>
  <si>
    <t>2004-2006</t>
  </si>
  <si>
    <t>2006-2008</t>
  </si>
  <si>
    <t>2008-2010</t>
  </si>
  <si>
    <t>2010-2012</t>
  </si>
  <si>
    <t xml:space="preserve">           </t>
  </si>
  <si>
    <t xml:space="preserve">Subtotal </t>
  </si>
  <si>
    <t>Subtotal</t>
  </si>
  <si>
    <t>Total Units for Major:</t>
  </si>
  <si>
    <t>Required</t>
  </si>
  <si>
    <t>Earned</t>
  </si>
  <si>
    <t>Last Name:</t>
  </si>
  <si>
    <t>First Name:</t>
  </si>
  <si>
    <t>Summer Quarter 2012</t>
  </si>
  <si>
    <t>BIOL 9100</t>
  </si>
  <si>
    <t>Lower Division Biological Scie</t>
  </si>
  <si>
    <t>A3 - Critical Thinking</t>
  </si>
  <si>
    <t>Winter Quarter 2014</t>
  </si>
  <si>
    <t>Fall Quarter 2013</t>
  </si>
  <si>
    <t>C4 - Upper Division Humanities</t>
  </si>
  <si>
    <t>ELEC 9999</t>
  </si>
  <si>
    <t>Non Transferable Coursework</t>
  </si>
  <si>
    <t>A2 - Written Communication</t>
  </si>
  <si>
    <t>C2 - Humanities</t>
  </si>
  <si>
    <t>ENGL 9100</t>
  </si>
  <si>
    <t>Lower Division English</t>
  </si>
  <si>
    <t>A4-2nd Course in English Comp</t>
  </si>
  <si>
    <t>Cultural Groups &amp; Women's Req</t>
  </si>
  <si>
    <t>HDEV 3103</t>
  </si>
  <si>
    <t>Social &amp; Cultural Dynamics</t>
  </si>
  <si>
    <t>Spring Quarter 2013</t>
  </si>
  <si>
    <t>HDEV 4310</t>
  </si>
  <si>
    <t>Human Development In Workplace</t>
  </si>
  <si>
    <t>HDEV 4430</t>
  </si>
  <si>
    <t>Intimate Relationships</t>
  </si>
  <si>
    <t>HDEV 9100</t>
  </si>
  <si>
    <t>Lower Division Human Developme</t>
  </si>
  <si>
    <t>E - Lifelong Under &amp; Self Dev</t>
  </si>
  <si>
    <t>HIST 9100</t>
  </si>
  <si>
    <t>Lower Division History</t>
  </si>
  <si>
    <t>B4 - Math/Quan Reasoning</t>
  </si>
  <si>
    <t>PHIL 9100</t>
  </si>
  <si>
    <t>Lower Division Philosophy</t>
  </si>
  <si>
    <t>B6- Upper Division Science</t>
  </si>
  <si>
    <t>POSC 9100</t>
  </si>
  <si>
    <t>Lower Division Political Scien</t>
  </si>
  <si>
    <t>D - Social Science Electives</t>
  </si>
  <si>
    <t>PSEU 9100</t>
  </si>
  <si>
    <t>Pseudo Course Elective</t>
  </si>
  <si>
    <t>US1, US2, and US3</t>
  </si>
  <si>
    <t>PSYC 9100</t>
  </si>
  <si>
    <t>Lower Division Psychology</t>
  </si>
  <si>
    <t>REC 3202</t>
  </si>
  <si>
    <t>Women and Leisure</t>
  </si>
  <si>
    <t>D4 and CGW</t>
  </si>
  <si>
    <t>Status</t>
  </si>
  <si>
    <t>ACCT 9100</t>
  </si>
  <si>
    <t>Lower Division Accounting</t>
  </si>
  <si>
    <t>Spring Quarter 2012</t>
  </si>
  <si>
    <t>ANTH 9100</t>
  </si>
  <si>
    <t>Lower Division Anthropology</t>
  </si>
  <si>
    <t>D1T- Anthr and Archeology</t>
  </si>
  <si>
    <t>AP 9100</t>
  </si>
  <si>
    <t>Lower Division Anatomy &amp; Physi</t>
  </si>
  <si>
    <t>ART 9100</t>
  </si>
  <si>
    <t>Lower Division Art</t>
  </si>
  <si>
    <t>B2 and B3</t>
  </si>
  <si>
    <t>BUS 9100</t>
  </si>
  <si>
    <t>Lower Division Business</t>
  </si>
  <si>
    <t>ECON 9100</t>
  </si>
  <si>
    <t>Lower Division Economics</t>
  </si>
  <si>
    <t>ELEC 9100</t>
  </si>
  <si>
    <t>Lower Division Electives</t>
  </si>
  <si>
    <t>ENGL 3000</t>
  </si>
  <si>
    <t>Writing for Proficiency</t>
  </si>
  <si>
    <t>GEOL 1001</t>
  </si>
  <si>
    <t>Intro to the Earth Sciences</t>
  </si>
  <si>
    <t>B1 or B5</t>
  </si>
  <si>
    <t>GEOL 3401</t>
  </si>
  <si>
    <t>The Oceans</t>
  </si>
  <si>
    <t>HDEV 3101</t>
  </si>
  <si>
    <t>Physical &amp; Cognitive Develop</t>
  </si>
  <si>
    <t>HDEV 3102</t>
  </si>
  <si>
    <t>Social &amp; Emotional Development</t>
  </si>
  <si>
    <t>Winter Quarter 2013</t>
  </si>
  <si>
    <t>HDEV 3201</t>
  </si>
  <si>
    <t>Theories Of Human Development</t>
  </si>
  <si>
    <t>HDEV 3202</t>
  </si>
  <si>
    <t>Research Methods In Human Dev</t>
  </si>
  <si>
    <t>HDEV 3203</t>
  </si>
  <si>
    <t>Applying Theory &amp; Methods HDEV</t>
  </si>
  <si>
    <t>HDEV 3301</t>
  </si>
  <si>
    <t>Child Development</t>
  </si>
  <si>
    <t>HDEV 3302</t>
  </si>
  <si>
    <t>Adolescent Development</t>
  </si>
  <si>
    <t>HDEV 3303</t>
  </si>
  <si>
    <t>Adult Development and Aging</t>
  </si>
  <si>
    <t>HDEV 3304</t>
  </si>
  <si>
    <t>Girls &amp; Women Across Lifespan</t>
  </si>
  <si>
    <t>HDEV 4440</t>
  </si>
  <si>
    <t>Lesbian/Gay Development</t>
  </si>
  <si>
    <t>HDEV 4811</t>
  </si>
  <si>
    <t>Senior Research Seminar I</t>
  </si>
  <si>
    <t>HDEV 4812</t>
  </si>
  <si>
    <t>Senior Research Seminar II</t>
  </si>
  <si>
    <t>HED 9100</t>
  </si>
  <si>
    <t>Lower Division Health Educatio</t>
  </si>
  <si>
    <t>HIST 3517</t>
  </si>
  <si>
    <t>Immigrants' West</t>
  </si>
  <si>
    <t>D6T - History</t>
  </si>
  <si>
    <t>C2 or D6</t>
  </si>
  <si>
    <t>HUM 9100</t>
  </si>
  <si>
    <t>Lower Division Humanities</t>
  </si>
  <si>
    <t>ITM 9100</t>
  </si>
  <si>
    <t>Lower Division Computer Inform</t>
  </si>
  <si>
    <t>MATH 9100</t>
  </si>
  <si>
    <t>Lower Division Mathematics</t>
  </si>
  <si>
    <t>SOC 9100</t>
  </si>
  <si>
    <t>Lower Division Sociology</t>
  </si>
  <si>
    <t>D0T- Sociology and Criminology</t>
  </si>
  <si>
    <t>SPAN 9100</t>
  </si>
  <si>
    <t>Lower Division Spanish</t>
  </si>
  <si>
    <t>C3 - Arts or Humanities</t>
  </si>
  <si>
    <t>SPCH 9100</t>
  </si>
  <si>
    <t>Lower Division Speech</t>
  </si>
  <si>
    <t>WOST 3545</t>
  </si>
  <si>
    <t>Women's Health and Health Care</t>
  </si>
  <si>
    <t>WOST 4130</t>
  </si>
  <si>
    <t>Women in Midlife Transition</t>
  </si>
  <si>
    <t>Lower  Divison</t>
  </si>
  <si>
    <t>Junior Foundation</t>
  </si>
  <si>
    <t>Courses</t>
  </si>
  <si>
    <t>24 Units</t>
  </si>
  <si>
    <t>Upper Division Requirements:  68 units</t>
  </si>
  <si>
    <t>Lifespan Survey</t>
  </si>
  <si>
    <t>20 Units</t>
  </si>
  <si>
    <t>Senior Option</t>
  </si>
  <si>
    <t>Senior Capstone</t>
  </si>
  <si>
    <t>HDEV 4010</t>
  </si>
  <si>
    <t>HDEV 4140</t>
  </si>
  <si>
    <t>HDEV 4150</t>
  </si>
  <si>
    <t>HDEV 4120</t>
  </si>
  <si>
    <t>TED 4070</t>
  </si>
  <si>
    <t>HDEV 4110</t>
  </si>
  <si>
    <t>HDEV 4130</t>
  </si>
  <si>
    <t>WOST 3520</t>
  </si>
  <si>
    <t>HDEV 3800</t>
  </si>
  <si>
    <t>HDEV 4220</t>
  </si>
  <si>
    <t>HDEV 4230</t>
  </si>
  <si>
    <t>WOST 3530</t>
  </si>
  <si>
    <t>HDEV 3600</t>
  </si>
  <si>
    <t>HDEV 4361</t>
  </si>
  <si>
    <t>HDEV 4362</t>
  </si>
  <si>
    <t>HDEV 4363</t>
  </si>
  <si>
    <t>WOST 3400</t>
  </si>
  <si>
    <t>WOST 3550</t>
  </si>
  <si>
    <t>WOST 4160</t>
  </si>
  <si>
    <t>ES 3030</t>
  </si>
  <si>
    <t>WOST 3030</t>
  </si>
  <si>
    <t>ES 3420</t>
  </si>
  <si>
    <t>WOST 3420</t>
  </si>
  <si>
    <t>Junior 12</t>
  </si>
  <si>
    <t>Foundation 24</t>
  </si>
  <si>
    <t>Lifespan 16</t>
  </si>
  <si>
    <t>ECD 20</t>
  </si>
  <si>
    <t>Childhood 20</t>
  </si>
  <si>
    <t>Adoles. 20</t>
  </si>
  <si>
    <t>Adult/Ger 20</t>
  </si>
  <si>
    <t>WO DEV 20</t>
  </si>
  <si>
    <t>Capstone 8</t>
  </si>
  <si>
    <t>Early Childhood Development Option</t>
  </si>
  <si>
    <t>Childhood Development Option</t>
  </si>
  <si>
    <t>Adolescent Development Option</t>
  </si>
  <si>
    <t>Adult Development and Gerontology Option</t>
  </si>
  <si>
    <t>Women's Development Option</t>
  </si>
  <si>
    <t xml:space="preserve">     MAJOR CHECK FORM:   B.A. in Human Development</t>
  </si>
  <si>
    <t>Steven Borish</t>
  </si>
  <si>
    <t>Lynn Comerford</t>
  </si>
  <si>
    <t>Christina Chin-Newman</t>
  </si>
  <si>
    <t>Maxwell Davis</t>
  </si>
  <si>
    <t>Patricia Drew</t>
  </si>
  <si>
    <t>Jiansheng Guo</t>
  </si>
  <si>
    <t>Keri O'Neal</t>
  </si>
  <si>
    <t>Rainer Bauer</t>
  </si>
  <si>
    <t>Xeno Rasmusson</t>
  </si>
  <si>
    <t>Rachael Stryker</t>
  </si>
  <si>
    <t>VVV 2</t>
  </si>
  <si>
    <t>VVV 1</t>
  </si>
  <si>
    <t>VVV 3</t>
  </si>
  <si>
    <t>VVV 4</t>
  </si>
  <si>
    <t>VVV 5</t>
  </si>
  <si>
    <t>VVV 6</t>
  </si>
  <si>
    <t>VVV 7</t>
  </si>
  <si>
    <t>VVV 8</t>
  </si>
  <si>
    <t>VVV 9</t>
  </si>
  <si>
    <t>Major Requirements for B.A. in Human Development  (80 Units)</t>
  </si>
  <si>
    <t>Lower Division Requirements (12 units)</t>
  </si>
  <si>
    <t>Select three 4-unit courses from the following categories, with no more than one course from each category.</t>
  </si>
  <si>
    <t>7.    Additional categories (e.g., statistics, gerontology, developmental    disabilities) may be approved by the department</t>
  </si>
  <si>
    <t>Upper Division Requirements (68 units)</t>
  </si>
  <si>
    <t>A.  Junior Foundation Courses (24 units)</t>
  </si>
  <si>
    <t>B.  Lifespan Survey Courses (16 units)</t>
  </si>
  <si>
    <t>D.  Senior Capstone Courses (8 Units)</t>
  </si>
  <si>
    <t>HDEV 3101, 3102, 3103, 3201, 3202, 3203</t>
  </si>
  <si>
    <t>HDEV 3301, 3302, 3303, 3304</t>
  </si>
  <si>
    <t xml:space="preserve">1.    Anthropology (cultural or social);                        2.   Psychology;                                             3.   Sociology;        </t>
  </si>
  <si>
    <t>4.    Human biology or physical anthropology         5.   Human or child development;        6.   Ethnic or area studies</t>
  </si>
  <si>
    <t xml:space="preserve">(Prerequisite: Completion of all HDEV Junior Foundation Courses, plus 16 additional upper division HDEV units.)
(Students must enroll in two consecutive quarters for these two courses.)
    HDEV 4811 Senior Research Seminar in Human Development I (4)
    HDEV 4812 Senior Research Seminar in Human Development II (4)
</t>
  </si>
  <si>
    <t xml:space="preserve">Student Information </t>
  </si>
  <si>
    <t>Course Information</t>
  </si>
  <si>
    <t>ES 9100</t>
  </si>
  <si>
    <t>STAT 9100</t>
  </si>
  <si>
    <t>CHDEV 9100</t>
  </si>
  <si>
    <t>BIO 9100</t>
  </si>
  <si>
    <t>You may add as many VVV columns as needed.  However, all columns MUST be contiguous.  The program stops searching when coming to an empty column.</t>
  </si>
  <si>
    <t>Form approved by HDEV/WOST faculty on 9/26/2014</t>
  </si>
  <si>
    <t>HDEV 4030</t>
  </si>
  <si>
    <t>Sara Smith</t>
  </si>
  <si>
    <t>Prepared by:</t>
  </si>
  <si>
    <t>HDEV Faculty Advisor:</t>
  </si>
  <si>
    <t>HDEV Department Chair:</t>
  </si>
  <si>
    <t xml:space="preserve">X                                                                   </t>
  </si>
  <si>
    <t>SSC</t>
  </si>
  <si>
    <t>Michelle Xiong</t>
  </si>
  <si>
    <t>Chair</t>
  </si>
  <si>
    <t>Winer</t>
  </si>
  <si>
    <t>[Created by CLASS Student Center in September 2014.   Approved by HDEV on 9/26/2014.]</t>
  </si>
  <si>
    <t>Add Date: CRTL+;</t>
  </si>
  <si>
    <t>2014-2016</t>
  </si>
  <si>
    <t>2012-2014</t>
  </si>
  <si>
    <t>2016-2018</t>
  </si>
  <si>
    <t>2018-2020</t>
  </si>
  <si>
    <t>2020-2022</t>
  </si>
  <si>
    <t>2022-2024</t>
  </si>
  <si>
    <t>2024-2026</t>
  </si>
  <si>
    <t>WOST 3050</t>
  </si>
  <si>
    <r>
      <t xml:space="preserve">C.  Senior Option Courses (20 units)   (Prerequisite: Upper Division Standing)
</t>
    </r>
    <r>
      <rPr>
        <sz val="11"/>
        <color theme="1"/>
        <rFont val="Calibri"/>
        <family val="2"/>
        <scheme val="minor"/>
      </rPr>
      <t xml:space="preserve">Choose one of the following five Options:
</t>
    </r>
    <r>
      <rPr>
        <b/>
        <i/>
        <sz val="11"/>
        <color theme="1"/>
        <rFont val="Calibri"/>
        <family val="2"/>
        <scheme val="minor"/>
      </rPr>
      <t>1. Early Childhood Development Option (20 units)</t>
    </r>
    <r>
      <rPr>
        <sz val="11"/>
        <color theme="1"/>
        <rFont val="Calibri"/>
        <family val="2"/>
        <scheme val="minor"/>
      </rPr>
      <t xml:space="preserve">
        </t>
    </r>
    <r>
      <rPr>
        <u/>
        <sz val="11"/>
        <color theme="1"/>
        <rFont val="Calibri"/>
        <family val="2"/>
        <scheme val="minor"/>
      </rPr>
      <t xml:space="preserve">Required Courses (16 units): </t>
    </r>
    <r>
      <rPr>
        <sz val="11"/>
        <color theme="1"/>
        <rFont val="Calibri"/>
        <family val="2"/>
        <scheme val="minor"/>
      </rPr>
      <t xml:space="preserve">  HDEV 4010, 4030, 4140, 4150
        </t>
    </r>
    <r>
      <rPr>
        <u/>
        <sz val="11"/>
        <color theme="1"/>
        <rFont val="Calibri"/>
        <family val="2"/>
        <scheme val="minor"/>
      </rPr>
      <t xml:space="preserve">Elective Courses (4 units): </t>
    </r>
    <r>
      <rPr>
        <sz val="11"/>
        <color theme="1"/>
        <rFont val="Calibri"/>
        <family val="2"/>
        <scheme val="minor"/>
      </rPr>
      <t xml:space="preserve">       Select 4 units from the following:     HDEV 4120, TED 4070 Early Childhood Education: Language and Literacy Development (4)
</t>
    </r>
    <r>
      <rPr>
        <b/>
        <i/>
        <sz val="11"/>
        <color theme="1"/>
        <rFont val="Calibri"/>
        <family val="2"/>
        <scheme val="minor"/>
      </rPr>
      <t>2. Childhood Development Option (20 units)</t>
    </r>
    <r>
      <rPr>
        <sz val="11"/>
        <color theme="1"/>
        <rFont val="Calibri"/>
        <family val="2"/>
        <scheme val="minor"/>
      </rPr>
      <t xml:space="preserve">
        </t>
    </r>
    <r>
      <rPr>
        <u/>
        <sz val="11"/>
        <color theme="1"/>
        <rFont val="Calibri"/>
        <family val="2"/>
        <scheme val="minor"/>
      </rPr>
      <t>Required Courses (8 units):</t>
    </r>
    <r>
      <rPr>
        <sz val="11"/>
        <color theme="1"/>
        <rFont val="Calibri"/>
        <family val="2"/>
        <scheme val="minor"/>
      </rPr>
      <t xml:space="preserve">      HDEV 4140, 4150
        </t>
    </r>
    <r>
      <rPr>
        <u/>
        <sz val="11"/>
        <color theme="1"/>
        <rFont val="Calibri"/>
        <family val="2"/>
        <scheme val="minor"/>
      </rPr>
      <t>Elective Courses (12 units):</t>
    </r>
    <r>
      <rPr>
        <sz val="11"/>
        <color theme="1"/>
        <rFont val="Calibri"/>
        <family val="2"/>
        <scheme val="minor"/>
      </rPr>
      <t xml:space="preserve">      Select 12 units from the following:  HDEV 4110, 4120, 4130, WOST 3520 Mothers, Daughters, &amp; Sons (4)
</t>
    </r>
    <r>
      <rPr>
        <b/>
        <i/>
        <sz val="11"/>
        <color theme="1"/>
        <rFont val="Calibri"/>
        <family val="2"/>
        <scheme val="minor"/>
      </rPr>
      <t>3.  Adolescent Development Option (20 units)</t>
    </r>
    <r>
      <rPr>
        <sz val="11"/>
        <color theme="1"/>
        <rFont val="Calibri"/>
        <family val="2"/>
        <scheme val="minor"/>
      </rPr>
      <t xml:space="preserve">
     Select 20 units from the following, with at least 16 units of courses with the HDEV prefix:
        HDEV 3800, 4150, 4220, 4230, 4430, 4440;             WOST 3520, 3530
</t>
    </r>
    <r>
      <rPr>
        <b/>
        <i/>
        <sz val="11"/>
        <color theme="1"/>
        <rFont val="Calibri"/>
        <family val="2"/>
        <scheme val="minor"/>
      </rPr>
      <t>4. Adult Development and Gerontology Option (20 units)</t>
    </r>
    <r>
      <rPr>
        <sz val="11"/>
        <color theme="1"/>
        <rFont val="Calibri"/>
        <family val="2"/>
        <scheme val="minor"/>
      </rPr>
      <t xml:space="preserve">
    Select 20 units from the following, with at least 16 units of courses with the HDEV prefix:
        HDEV 3600, 4310, 4361, 4362, 4363, 4430, 4440;             WOST 3400, 3530, 3545, 3550, 4130, 4160
</t>
    </r>
    <r>
      <rPr>
        <b/>
        <i/>
        <sz val="11"/>
        <color theme="1"/>
        <rFont val="Calibri"/>
        <family val="2"/>
        <scheme val="minor"/>
      </rPr>
      <t>5. Women's Development Option (20 units)</t>
    </r>
    <r>
      <rPr>
        <sz val="11"/>
        <color theme="1"/>
        <rFont val="Calibri"/>
        <family val="2"/>
        <scheme val="minor"/>
      </rPr>
      <t xml:space="preserve">
        </t>
    </r>
    <r>
      <rPr>
        <u/>
        <sz val="11"/>
        <color theme="1"/>
        <rFont val="Calibri"/>
        <family val="2"/>
        <scheme val="minor"/>
      </rPr>
      <t xml:space="preserve">Required Courses (8 units): </t>
    </r>
    <r>
      <rPr>
        <sz val="11"/>
        <color theme="1"/>
        <rFont val="Calibri"/>
        <family val="2"/>
        <scheme val="minor"/>
      </rPr>
      <t xml:space="preserve">     WOST 4130, 4160 
        </t>
    </r>
    <r>
      <rPr>
        <u/>
        <sz val="11"/>
        <color theme="1"/>
        <rFont val="Calibri"/>
        <family val="2"/>
        <scheme val="minor"/>
      </rPr>
      <t xml:space="preserve">Elective Courses (12 units): </t>
    </r>
    <r>
      <rPr>
        <sz val="11"/>
        <color theme="1"/>
        <rFont val="Calibri"/>
        <family val="2"/>
        <scheme val="minor"/>
      </rPr>
      <t xml:space="preserve">                 
            Select 4 units from the following:      HDEV 4310, 4430, 4440 
            Select 8 units from the following:      WOST 3050, 3400, 3520, 3530, 3545, 3550;          ES/WOST 3030, 3420</t>
    </r>
  </si>
  <si>
    <t xml:space="preserve">Copying code here-&gt; </t>
  </si>
  <si>
    <t>VVV</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</si>
</sst>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mmm\ d\,\ yyyy;@"/>
  </numFmts>
  <fonts count="20" x14ac:knownFonts="1">
    <font>
      <sz val="11"/>
      <color theme="1"/>
      <name val="Calibri"/>
      <family val="2"/>
      <scheme val="minor"/>
    </font>
    <font>
      <sz val="14"/>
      <color indexed="8"/>
      <name val="Calibri"/>
      <family val="2"/>
    </font>
    <font>
      <sz val="8"/>
      <name val="Calibri"/>
      <family val="2"/>
    </font>
    <font>
      <b/>
      <sz val="11"/>
      <color theme="1"/>
      <name val="Calibri"/>
      <family val="2"/>
      <scheme val="minor"/>
    </font>
    <font>
      <sz val="18"/>
      <color theme="1"/>
      <name val="Calibri"/>
      <family val="2"/>
      <scheme val="minor"/>
    </font>
    <font>
      <sz val="10"/>
      <color theme="1"/>
      <name val="Calibri"/>
      <family val="2"/>
      <scheme val="minor"/>
    </font>
    <font>
      <sz val="14"/>
      <color theme="1"/>
      <name val="Calibri"/>
      <family val="2"/>
      <scheme val="minor"/>
    </font>
    <font>
      <b/>
      <sz val="12"/>
      <color theme="1"/>
      <name val="Calibri"/>
      <family val="2"/>
      <scheme val="minor"/>
    </font>
    <font>
      <b/>
      <sz val="13"/>
      <color theme="1"/>
      <name val="Calibri"/>
      <family val="2"/>
      <scheme val="minor"/>
    </font>
    <font>
      <sz val="12"/>
      <color theme="1"/>
      <name val="Calibri"/>
      <family val="2"/>
      <scheme val="minor"/>
    </font>
    <font>
      <b/>
      <sz val="10"/>
      <color theme="1"/>
      <name val="Calibri"/>
      <family val="2"/>
      <scheme val="minor"/>
    </font>
    <font>
      <b/>
      <sz val="16"/>
      <color theme="1"/>
      <name val="Calibri"/>
      <family val="2"/>
      <scheme val="minor"/>
    </font>
    <font>
      <b/>
      <sz val="14.5"/>
      <color theme="1"/>
      <name val="Calibri"/>
      <family val="2"/>
      <scheme val="minor"/>
    </font>
    <font>
      <b/>
      <u/>
      <sz val="11"/>
      <color theme="1"/>
      <name val="Calibri"/>
      <family val="2"/>
      <scheme val="minor"/>
    </font>
    <font>
      <b/>
      <sz val="13.5"/>
      <color theme="1"/>
      <name val="Calibri"/>
      <family val="2"/>
      <scheme val="minor"/>
    </font>
    <font>
      <b/>
      <i/>
      <sz val="11"/>
      <color theme="1"/>
      <name val="Calibri"/>
      <family val="2"/>
      <scheme val="minor"/>
    </font>
    <font>
      <u/>
      <sz val="11"/>
      <color theme="1"/>
      <name val="Calibri"/>
      <family val="2"/>
      <scheme val="minor"/>
    </font>
    <font>
      <sz val="9"/>
      <color theme="1"/>
      <name val="Calibri"/>
      <family val="2"/>
      <scheme val="minor"/>
    </font>
    <font>
      <sz val="7"/>
      <color theme="1"/>
      <name val="Calibri"/>
      <family val="2"/>
      <scheme val="minor"/>
    </font>
    <font>
      <sz val="16"/>
      <color theme="1"/>
      <name val="Calibri"/>
      <family val="2"/>
      <scheme val="minor"/>
    </font>
  </fonts>
  <fills count="2">
    <fill>
      <patternFill patternType="none"/>
    </fill>
    <fill>
      <patternFill patternType="gray125"/>
    </fill>
  </fills>
  <borders count="109">
    <border>
      <left/>
      <right/>
      <top/>
      <bottom/>
      <diagonal/>
    </border>
    <border>
      <left/>
      <right/>
      <top style="double">
        <color indexed="64"/>
      </top>
      <bottom/>
      <diagonal/>
    </border>
    <border>
      <left style="medium">
        <color indexed="64"/>
      </left>
      <right/>
      <top/>
      <bottom/>
      <diagonal/>
    </border>
    <border>
      <left style="medium">
        <color indexed="64"/>
      </left>
      <right/>
      <top/>
      <bottom style="double">
        <color indexed="64"/>
      </bottom>
      <diagonal/>
    </border>
    <border>
      <left style="medium">
        <color indexed="64"/>
      </left>
      <right/>
      <top style="double">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bottom/>
      <diagonal/>
    </border>
    <border>
      <left style="medium">
        <color indexed="64"/>
      </left>
      <right style="thin">
        <color indexed="64"/>
      </right>
      <top/>
      <bottom/>
      <diagonal/>
    </border>
    <border>
      <left style="medium">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bottom style="double">
        <color indexed="64"/>
      </bottom>
      <diagonal/>
    </border>
    <border>
      <left/>
      <right style="medium">
        <color indexed="64"/>
      </right>
      <top style="double">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double">
        <color indexed="64"/>
      </bottom>
      <diagonal/>
    </border>
    <border>
      <left/>
      <right/>
      <top style="thin">
        <color indexed="64"/>
      </top>
      <bottom style="double">
        <color indexed="64"/>
      </bottom>
      <diagonal/>
    </border>
    <border>
      <left/>
      <right style="medium">
        <color indexed="64"/>
      </right>
      <top style="thin">
        <color indexed="64"/>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top style="double">
        <color indexed="64"/>
      </top>
      <bottom style="double">
        <color indexed="64"/>
      </bottom>
      <diagonal/>
    </border>
    <border>
      <left/>
      <right style="medium">
        <color indexed="64"/>
      </right>
      <top style="double">
        <color indexed="64"/>
      </top>
      <bottom style="double">
        <color indexed="64"/>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style="medium">
        <color indexed="64"/>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medium">
        <color indexed="64"/>
      </left>
      <right style="thin">
        <color indexed="64"/>
      </right>
      <top/>
      <bottom style="double">
        <color indexed="64"/>
      </bottom>
      <diagonal/>
    </border>
    <border>
      <left style="thin">
        <color rgb="FF000000"/>
      </left>
      <right/>
      <top/>
      <bottom style="thin">
        <color rgb="FF000000"/>
      </bottom>
      <diagonal/>
    </border>
    <border>
      <left/>
      <right/>
      <top/>
      <bottom style="thin">
        <color rgb="FF000000"/>
      </bottom>
      <diagonal/>
    </border>
    <border>
      <left style="thin">
        <color rgb="FF000000"/>
      </left>
      <right style="thin">
        <color rgb="FF000000"/>
      </right>
      <top style="thin">
        <color rgb="FF000000"/>
      </top>
      <bottom style="thin">
        <color indexed="64"/>
      </bottom>
      <diagonal/>
    </border>
    <border>
      <left/>
      <right style="medium">
        <color indexed="64"/>
      </right>
      <top/>
      <bottom style="double">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double">
        <color indexed="64"/>
      </top>
      <bottom style="thin">
        <color indexed="64"/>
      </bottom>
      <diagonal/>
    </border>
    <border>
      <left style="thin">
        <color rgb="FF000000"/>
      </left>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style="medium">
        <color indexed="64"/>
      </bottom>
      <diagonal/>
    </border>
    <border>
      <left/>
      <right style="thin">
        <color rgb="FF000000"/>
      </right>
      <top style="thin">
        <color indexed="64"/>
      </top>
      <bottom style="medium">
        <color indexed="64"/>
      </bottom>
      <diagonal/>
    </border>
    <border>
      <left style="thin">
        <color rgb="FF000000"/>
      </left>
      <right style="thin">
        <color rgb="FF000000"/>
      </right>
      <top/>
      <bottom style="thin">
        <color indexed="64"/>
      </bottom>
      <diagonal/>
    </border>
    <border>
      <left style="thin">
        <color rgb="FF000000"/>
      </left>
      <right style="thin">
        <color rgb="FF000000"/>
      </right>
      <top style="thin">
        <color rgb="FF000000"/>
      </top>
      <bottom style="medium">
        <color rgb="FF000000"/>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indexed="64"/>
      </right>
      <top style="thin">
        <color rgb="FF000000"/>
      </top>
      <bottom style="medium">
        <color rgb="FF000000"/>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double">
        <color indexed="64"/>
      </top>
      <bottom style="double">
        <color indexed="64"/>
      </bottom>
      <diagonal/>
    </border>
    <border>
      <left/>
      <right style="thin">
        <color rgb="FF000000"/>
      </right>
      <top/>
      <bottom style="thin">
        <color rgb="FF000000"/>
      </bottom>
      <diagonal/>
    </border>
    <border>
      <left/>
      <right style="medium">
        <color indexed="64"/>
      </right>
      <top/>
      <bottom style="thin">
        <color rgb="FF000000"/>
      </bottom>
      <diagonal/>
    </border>
    <border>
      <left style="thin">
        <color rgb="FF000000"/>
      </left>
      <right style="thin">
        <color rgb="FF000000"/>
      </right>
      <top/>
      <bottom style="medium">
        <color indexed="64"/>
      </bottom>
      <diagonal/>
    </border>
    <border>
      <left style="thin">
        <color rgb="FF000000"/>
      </left>
      <right/>
      <top/>
      <bottom style="medium">
        <color indexed="64"/>
      </bottom>
      <diagonal/>
    </border>
    <border>
      <left/>
      <right style="thin">
        <color rgb="FF000000"/>
      </right>
      <top/>
      <bottom style="medium">
        <color indexed="64"/>
      </bottom>
      <diagonal/>
    </border>
    <border>
      <left/>
      <right/>
      <top style="thin">
        <color rgb="FF000000"/>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rgb="FF000000"/>
      </left>
      <right/>
      <top style="medium">
        <color rgb="FF000000"/>
      </top>
      <bottom style="double">
        <color indexed="64"/>
      </bottom>
      <diagonal/>
    </border>
    <border>
      <left/>
      <right style="thin">
        <color rgb="FF000000"/>
      </right>
      <top style="medium">
        <color rgb="FF000000"/>
      </top>
      <bottom style="double">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rgb="FF000000"/>
      </left>
      <right style="thin">
        <color indexed="64"/>
      </right>
      <top style="thin">
        <color indexed="64"/>
      </top>
      <bottom style="medium">
        <color rgb="FF000000"/>
      </bottom>
      <diagonal/>
    </border>
    <border>
      <left style="medium">
        <color indexed="64"/>
      </left>
      <right style="thin">
        <color rgb="FF000000"/>
      </right>
      <top/>
      <bottom style="medium">
        <color indexed="64"/>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diagonal/>
    </border>
    <border>
      <left style="thin">
        <color indexed="64"/>
      </left>
      <right/>
      <top style="thin">
        <color auto="1"/>
      </top>
      <bottom/>
      <diagonal/>
    </border>
    <border>
      <left style="thin">
        <color indexed="64"/>
      </left>
      <right/>
      <top style="double">
        <color indexed="64"/>
      </top>
      <bottom style="thin">
        <color indexed="64"/>
      </bottom>
      <diagonal/>
    </border>
    <border>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style="thin">
        <color rgb="FF000000"/>
      </right>
      <top style="thin">
        <color rgb="FF000000"/>
      </top>
      <bottom/>
      <diagonal/>
    </border>
    <border>
      <left/>
      <right style="medium">
        <color indexed="64"/>
      </right>
      <top style="thin">
        <color rgb="FF000000"/>
      </top>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rgb="FF000000"/>
      </left>
      <right/>
      <top style="medium">
        <color indexed="64"/>
      </top>
      <bottom style="thin">
        <color indexed="64"/>
      </bottom>
      <diagonal/>
    </border>
    <border>
      <left/>
      <right style="thin">
        <color rgb="FF000000"/>
      </right>
      <top style="medium">
        <color indexed="64"/>
      </top>
      <bottom style="thin">
        <color indexed="64"/>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right style="thin">
        <color rgb="FF000000"/>
      </right>
      <top style="thin">
        <color indexed="64"/>
      </top>
      <bottom/>
      <diagonal/>
    </border>
    <border>
      <left/>
      <right style="medium">
        <color indexed="64"/>
      </right>
      <top style="thin">
        <color indexed="64"/>
      </top>
      <bottom/>
      <diagonal/>
    </border>
    <border>
      <left style="thin">
        <color rgb="FF000000"/>
      </left>
      <right style="thin">
        <color rgb="FF000000"/>
      </right>
      <top style="medium">
        <color rgb="FF000000"/>
      </top>
      <bottom style="double">
        <color indexed="64"/>
      </bottom>
      <diagonal/>
    </border>
    <border>
      <left style="thin">
        <color rgb="FF000000"/>
      </left>
      <right style="thin">
        <color rgb="FF000000"/>
      </right>
      <top style="medium">
        <color rgb="FF000000"/>
      </top>
      <bottom style="double">
        <color rgb="FF000000"/>
      </bottom>
      <diagonal/>
    </border>
    <border>
      <left/>
      <right/>
      <top style="medium">
        <color rgb="FF000000"/>
      </top>
      <bottom style="double">
        <color indexed="64"/>
      </bottom>
      <diagonal/>
    </border>
    <border>
      <left/>
      <right style="medium">
        <color indexed="64"/>
      </right>
      <top style="medium">
        <color rgb="FF000000"/>
      </top>
      <bottom style="double">
        <color indexed="64"/>
      </bottom>
      <diagonal/>
    </border>
    <border>
      <left style="thin">
        <color indexed="64"/>
      </left>
      <right style="thin">
        <color indexed="64"/>
      </right>
      <top/>
      <bottom/>
      <diagonal/>
    </border>
    <border>
      <left style="thin">
        <color auto="1"/>
      </left>
      <right/>
      <top style="medium">
        <color auto="1"/>
      </top>
      <bottom/>
      <diagonal/>
    </border>
    <border>
      <left/>
      <right style="thin">
        <color auto="1"/>
      </right>
      <top style="medium">
        <color auto="1"/>
      </top>
      <bottom/>
      <diagonal/>
    </border>
    <border>
      <left style="medium">
        <color indexed="64"/>
      </left>
      <right style="thin">
        <color indexed="64"/>
      </right>
      <top style="double">
        <color indexed="64"/>
      </top>
      <bottom/>
      <diagonal/>
    </border>
  </borders>
  <cellStyleXfs count="1">
    <xf numFmtId="0" fontId="0" fillId="0" borderId="0"/>
  </cellStyleXfs>
  <cellXfs count="302">
    <xf numFmtId="0" fontId="0" fillId="0" borderId="0" xfId="0"/>
    <xf numFmtId="0" fontId="0" fillId="0" borderId="0" xfId="0" applyAlignment="1">
      <alignment horizontal="center"/>
    </xf>
    <xf numFmtId="0" fontId="0" fillId="0" borderId="0" xfId="0" applyAlignment="1"/>
    <xf numFmtId="0" fontId="0" fillId="0" borderId="0" xfId="0" applyBorder="1" applyProtection="1"/>
    <xf numFmtId="0" fontId="0" fillId="0" borderId="0" xfId="0" applyBorder="1" applyAlignment="1" applyProtection="1">
      <alignment horizontal="center"/>
    </xf>
    <xf numFmtId="0" fontId="0" fillId="0" borderId="0" xfId="0" applyBorder="1" applyAlignment="1" applyProtection="1">
      <alignment horizontal="right"/>
    </xf>
    <xf numFmtId="0" fontId="0" fillId="0" borderId="0" xfId="0" applyBorder="1" applyAlignment="1" applyProtection="1">
      <alignment horizontal="left"/>
    </xf>
    <xf numFmtId="0" fontId="3" fillId="0" borderId="2" xfId="0" applyFont="1" applyBorder="1" applyProtection="1"/>
    <xf numFmtId="0" fontId="0" fillId="0" borderId="3" xfId="0" applyBorder="1" applyProtection="1"/>
    <xf numFmtId="0" fontId="0" fillId="0" borderId="2" xfId="0" applyBorder="1" applyProtection="1"/>
    <xf numFmtId="0" fontId="0" fillId="0" borderId="7" xfId="0" applyBorder="1" applyProtection="1"/>
    <xf numFmtId="0" fontId="0" fillId="0" borderId="8" xfId="0" applyBorder="1" applyProtection="1"/>
    <xf numFmtId="0" fontId="4" fillId="0" borderId="8" xfId="0" applyFont="1" applyBorder="1" applyProtection="1"/>
    <xf numFmtId="0" fontId="0" fillId="0" borderId="8" xfId="0" applyBorder="1" applyAlignment="1" applyProtection="1">
      <alignment horizontal="center"/>
    </xf>
    <xf numFmtId="0" fontId="0" fillId="0" borderId="9" xfId="0" applyBorder="1" applyProtection="1"/>
    <xf numFmtId="0" fontId="3" fillId="0" borderId="10" xfId="0" applyFont="1" applyBorder="1" applyProtection="1"/>
    <xf numFmtId="0" fontId="0" fillId="0" borderId="2" xfId="0" applyFont="1" applyFill="1" applyBorder="1" applyProtection="1"/>
    <xf numFmtId="0" fontId="0" fillId="0" borderId="2" xfId="0" applyFont="1" applyBorder="1" applyProtection="1"/>
    <xf numFmtId="0" fontId="0" fillId="0" borderId="1" xfId="0" applyBorder="1" applyProtection="1"/>
    <xf numFmtId="0" fontId="0" fillId="0" borderId="2" xfId="0" applyBorder="1"/>
    <xf numFmtId="0" fontId="3" fillId="0" borderId="0" xfId="0" applyFont="1" applyAlignment="1">
      <alignment wrapText="1"/>
    </xf>
    <xf numFmtId="0" fontId="0" fillId="0" borderId="1" xfId="0" applyBorder="1" applyAlignment="1" applyProtection="1">
      <alignment horizontal="center"/>
    </xf>
    <xf numFmtId="0" fontId="0" fillId="0" borderId="8" xfId="0" applyBorder="1" applyAlignment="1"/>
    <xf numFmtId="0" fontId="0" fillId="0" borderId="15" xfId="0" applyBorder="1" applyAlignment="1"/>
    <xf numFmtId="0" fontId="8" fillId="0" borderId="8" xfId="0" applyFont="1" applyBorder="1" applyProtection="1"/>
    <xf numFmtId="0" fontId="6" fillId="0" borderId="0" xfId="0" applyFont="1" applyBorder="1" applyAlignment="1" applyProtection="1">
      <alignment horizontal="center"/>
    </xf>
    <xf numFmtId="0" fontId="9" fillId="0" borderId="0" xfId="0" applyFont="1" applyBorder="1" applyAlignment="1" applyProtection="1">
      <alignment horizontal="left"/>
    </xf>
    <xf numFmtId="0" fontId="0" fillId="0" borderId="0" xfId="0" applyBorder="1" applyAlignment="1" applyProtection="1">
      <protection locked="0"/>
    </xf>
    <xf numFmtId="0" fontId="0" fillId="0" borderId="17" xfId="0" applyBorder="1" applyAlignment="1" applyProtection="1">
      <alignment horizontal="center"/>
      <protection locked="0"/>
    </xf>
    <xf numFmtId="0" fontId="3" fillId="0" borderId="13" xfId="0" applyFont="1" applyBorder="1" applyAlignment="1">
      <alignment horizontal="center" vertical="center" wrapText="1"/>
    </xf>
    <xf numFmtId="18" fontId="0" fillId="0" borderId="0" xfId="0" applyNumberFormat="1"/>
    <xf numFmtId="0" fontId="3" fillId="0" borderId="21" xfId="0" applyFont="1" applyBorder="1" applyAlignment="1" applyProtection="1"/>
    <xf numFmtId="0" fontId="0" fillId="0" borderId="37" xfId="0" applyBorder="1" applyProtection="1"/>
    <xf numFmtId="0" fontId="3" fillId="0" borderId="20" xfId="0" applyFont="1" applyBorder="1" applyAlignment="1" applyProtection="1"/>
    <xf numFmtId="0" fontId="7" fillId="0" borderId="20" xfId="0" applyFont="1" applyBorder="1" applyAlignment="1" applyProtection="1"/>
    <xf numFmtId="0" fontId="3" fillId="0" borderId="13" xfId="0" applyFont="1" applyBorder="1" applyAlignment="1" applyProtection="1">
      <alignment horizontal="left"/>
      <protection locked="0"/>
    </xf>
    <xf numFmtId="0" fontId="3" fillId="0" borderId="13" xfId="0" applyFont="1" applyBorder="1" applyAlignment="1" applyProtection="1">
      <alignment horizontal="center"/>
      <protection locked="0"/>
    </xf>
    <xf numFmtId="0" fontId="0" fillId="0" borderId="43" xfId="0" applyBorder="1" applyAlignment="1" applyProtection="1">
      <alignment horizontal="center"/>
      <protection locked="0"/>
    </xf>
    <xf numFmtId="0" fontId="10" fillId="0" borderId="31" xfId="0" applyFont="1" applyBorder="1" applyAlignment="1">
      <alignment horizontal="center" vertical="center" wrapText="1"/>
    </xf>
    <xf numFmtId="0" fontId="5" fillId="0" borderId="31" xfId="0" applyFont="1" applyBorder="1" applyAlignment="1">
      <alignment wrapText="1"/>
    </xf>
    <xf numFmtId="0" fontId="0" fillId="0" borderId="31" xfId="0" applyBorder="1" applyAlignment="1">
      <alignment wrapText="1"/>
    </xf>
    <xf numFmtId="0" fontId="3" fillId="0" borderId="62" xfId="0" applyFont="1" applyBorder="1" applyAlignment="1" applyProtection="1">
      <alignment horizontal="left"/>
      <protection locked="0"/>
    </xf>
    <xf numFmtId="0" fontId="3" fillId="0" borderId="62" xfId="0" applyFont="1" applyBorder="1" applyAlignment="1" applyProtection="1">
      <alignment horizontal="center"/>
      <protection locked="0"/>
    </xf>
    <xf numFmtId="0" fontId="0" fillId="0" borderId="65" xfId="0" applyBorder="1" applyAlignment="1" applyProtection="1">
      <alignment horizontal="center"/>
      <protection locked="0"/>
    </xf>
    <xf numFmtId="0" fontId="0" fillId="0" borderId="58" xfId="0" applyBorder="1" applyAlignment="1" applyProtection="1">
      <alignment horizontal="center"/>
      <protection locked="0"/>
    </xf>
    <xf numFmtId="0" fontId="0" fillId="0" borderId="66" xfId="0" applyBorder="1" applyAlignment="1" applyProtection="1">
      <alignment horizontal="center"/>
      <protection locked="0"/>
    </xf>
    <xf numFmtId="0" fontId="3" fillId="0" borderId="23" xfId="0" applyFont="1" applyBorder="1" applyAlignment="1" applyProtection="1">
      <alignment horizontal="center"/>
      <protection locked="0"/>
    </xf>
    <xf numFmtId="0" fontId="3" fillId="0" borderId="63" xfId="0" applyFont="1" applyBorder="1" applyAlignment="1" applyProtection="1">
      <alignment horizontal="center"/>
      <protection locked="0"/>
    </xf>
    <xf numFmtId="0" fontId="0" fillId="0" borderId="68" xfId="0" applyBorder="1" applyAlignment="1" applyProtection="1">
      <protection locked="0"/>
    </xf>
    <xf numFmtId="0" fontId="11" fillId="0" borderId="29" xfId="0" applyFont="1" applyBorder="1" applyAlignment="1" applyProtection="1"/>
    <xf numFmtId="0" fontId="0" fillId="0" borderId="0" xfId="0" applyAlignment="1" applyProtection="1">
      <protection locked="0"/>
    </xf>
    <xf numFmtId="0" fontId="0" fillId="0" borderId="75" xfId="0" applyBorder="1"/>
    <xf numFmtId="0" fontId="0" fillId="0" borderId="0" xfId="0" applyBorder="1" applyAlignment="1"/>
    <xf numFmtId="0" fontId="0" fillId="0" borderId="0" xfId="0" applyBorder="1"/>
    <xf numFmtId="0" fontId="5" fillId="0" borderId="0" xfId="0" applyFont="1" applyBorder="1" applyAlignment="1">
      <alignment wrapText="1"/>
    </xf>
    <xf numFmtId="0" fontId="0" fillId="0" borderId="0" xfId="0" applyFill="1" applyBorder="1" applyAlignment="1" applyProtection="1">
      <alignment horizontal="right"/>
    </xf>
    <xf numFmtId="0" fontId="0" fillId="0" borderId="79" xfId="0" applyBorder="1" applyAlignment="1" applyProtection="1">
      <alignment horizontal="center"/>
    </xf>
    <xf numFmtId="0" fontId="0" fillId="0" borderId="79" xfId="0" applyBorder="1" applyProtection="1"/>
    <xf numFmtId="0" fontId="0" fillId="0" borderId="81" xfId="0" applyFill="1" applyBorder="1" applyAlignment="1" applyProtection="1">
      <alignment horizontal="right"/>
    </xf>
    <xf numFmtId="0" fontId="0" fillId="0" borderId="81" xfId="0" applyBorder="1" applyAlignment="1" applyProtection="1">
      <alignment horizontal="right"/>
    </xf>
    <xf numFmtId="0" fontId="0" fillId="0" borderId="81" xfId="0" applyBorder="1" applyAlignment="1" applyProtection="1">
      <alignment horizontal="left"/>
    </xf>
    <xf numFmtId="0" fontId="0" fillId="0" borderId="81" xfId="0" applyBorder="1" applyAlignment="1" applyProtection="1">
      <alignment horizontal="center"/>
    </xf>
    <xf numFmtId="0" fontId="0" fillId="0" borderId="81" xfId="0" applyBorder="1" applyProtection="1"/>
    <xf numFmtId="0" fontId="3" fillId="0" borderId="82" xfId="0" applyFont="1" applyBorder="1"/>
    <xf numFmtId="0" fontId="11" fillId="0" borderId="83" xfId="0" applyFont="1" applyBorder="1" applyAlignment="1" applyProtection="1"/>
    <xf numFmtId="0" fontId="12" fillId="0" borderId="8" xfId="0" applyFont="1" applyBorder="1" applyProtection="1"/>
    <xf numFmtId="0" fontId="0" fillId="0" borderId="84" xfId="0" applyBorder="1" applyProtection="1"/>
    <xf numFmtId="0" fontId="0" fillId="0" borderId="80" xfId="0" applyBorder="1" applyProtection="1"/>
    <xf numFmtId="0" fontId="0" fillId="0" borderId="78" xfId="0" applyBorder="1" applyProtection="1"/>
    <xf numFmtId="0" fontId="0" fillId="0" borderId="79" xfId="0" applyBorder="1" applyAlignment="1">
      <alignment horizontal="center"/>
    </xf>
    <xf numFmtId="0" fontId="10" fillId="0" borderId="31" xfId="0" applyFont="1" applyBorder="1" applyAlignment="1">
      <alignment horizontal="left" vertical="center"/>
    </xf>
    <xf numFmtId="0" fontId="5" fillId="0" borderId="31" xfId="0" applyFont="1" applyBorder="1" applyAlignment="1"/>
    <xf numFmtId="0" fontId="0" fillId="0" borderId="0" xfId="0" applyFill="1" applyBorder="1" applyAlignment="1"/>
    <xf numFmtId="0" fontId="0" fillId="0" borderId="86" xfId="0" applyBorder="1" applyAlignment="1" applyProtection="1">
      <alignment horizontal="center"/>
      <protection locked="0"/>
    </xf>
    <xf numFmtId="0" fontId="0" fillId="0" borderId="87" xfId="0" applyBorder="1" applyAlignment="1" applyProtection="1">
      <alignment horizontal="center"/>
      <protection locked="0"/>
    </xf>
    <xf numFmtId="0" fontId="0" fillId="0" borderId="86" xfId="0" applyBorder="1" applyAlignment="1" applyProtection="1">
      <protection locked="0"/>
    </xf>
    <xf numFmtId="0" fontId="0" fillId="0" borderId="88" xfId="0" applyBorder="1" applyAlignment="1" applyProtection="1">
      <protection locked="0"/>
    </xf>
    <xf numFmtId="0" fontId="3" fillId="0" borderId="27" xfId="0" applyFont="1" applyBorder="1" applyAlignment="1" applyProtection="1">
      <alignment horizontal="left"/>
    </xf>
    <xf numFmtId="0" fontId="3" fillId="0" borderId="0" xfId="0" applyFont="1" applyFill="1" applyBorder="1" applyAlignment="1"/>
    <xf numFmtId="0" fontId="3" fillId="0" borderId="0" xfId="0" applyFont="1" applyBorder="1"/>
    <xf numFmtId="0" fontId="0" fillId="0" borderId="17" xfId="0" applyBorder="1" applyAlignment="1">
      <alignment horizontal="left"/>
    </xf>
    <xf numFmtId="0" fontId="5" fillId="0" borderId="17" xfId="0" applyFont="1" applyBorder="1" applyAlignment="1">
      <alignment horizontal="left" wrapText="1"/>
    </xf>
    <xf numFmtId="0" fontId="5" fillId="0" borderId="17" xfId="0" applyFont="1" applyFill="1" applyBorder="1" applyAlignment="1">
      <alignment horizontal="left" wrapText="1"/>
    </xf>
    <xf numFmtId="0" fontId="0" fillId="0" borderId="17" xfId="0" applyFill="1" applyBorder="1" applyAlignment="1">
      <alignment horizontal="left"/>
    </xf>
    <xf numFmtId="0" fontId="0" fillId="0" borderId="0" xfId="0" applyAlignment="1">
      <alignment horizontal="left"/>
    </xf>
    <xf numFmtId="0" fontId="0" fillId="0" borderId="70" xfId="0" applyBorder="1" applyAlignment="1" applyProtection="1">
      <alignment horizontal="center"/>
      <protection locked="0"/>
    </xf>
    <xf numFmtId="0" fontId="3" fillId="0" borderId="0" xfId="0" applyFont="1"/>
    <xf numFmtId="0" fontId="0" fillId="0" borderId="17" xfId="0" applyBorder="1"/>
    <xf numFmtId="0" fontId="10" fillId="0" borderId="0" xfId="0" applyFont="1" applyBorder="1" applyAlignment="1">
      <alignment horizontal="center" vertical="center"/>
    </xf>
    <xf numFmtId="0" fontId="3" fillId="0" borderId="0" xfId="0" applyFont="1" applyBorder="1" applyAlignment="1" applyProtection="1"/>
    <xf numFmtId="0" fontId="10" fillId="0" borderId="0" xfId="0" applyFont="1" applyBorder="1" applyAlignment="1" applyProtection="1">
      <alignment horizontal="center" vertical="center"/>
      <protection locked="0"/>
    </xf>
    <xf numFmtId="0" fontId="5" fillId="0" borderId="0" xfId="0" applyFont="1" applyBorder="1" applyAlignment="1" applyProtection="1">
      <protection locked="0"/>
    </xf>
    <xf numFmtId="0" fontId="10" fillId="0" borderId="0" xfId="0" applyFont="1" applyBorder="1" applyAlignment="1">
      <alignment horizontal="left" vertical="center"/>
    </xf>
    <xf numFmtId="0" fontId="0" fillId="0" borderId="0" xfId="0" applyBorder="1" applyAlignment="1">
      <alignment horizontal="left"/>
    </xf>
    <xf numFmtId="0" fontId="0" fillId="0" borderId="17" xfId="0" applyFont="1" applyBorder="1" applyAlignment="1" applyProtection="1">
      <alignment horizontal="left" vertical="center"/>
      <protection locked="0"/>
    </xf>
    <xf numFmtId="0" fontId="0" fillId="0" borderId="17" xfId="0" applyFont="1" applyBorder="1" applyAlignment="1" applyProtection="1">
      <alignment horizontal="left"/>
      <protection locked="0"/>
    </xf>
    <xf numFmtId="0" fontId="0" fillId="0" borderId="17" xfId="0" applyFont="1" applyBorder="1" applyAlignment="1">
      <alignment horizontal="left" vertical="center"/>
    </xf>
    <xf numFmtId="0" fontId="0" fillId="0" borderId="43" xfId="0" applyFont="1" applyBorder="1" applyAlignment="1" applyProtection="1">
      <alignment horizontal="left"/>
      <protection locked="0"/>
    </xf>
    <xf numFmtId="0" fontId="0" fillId="0" borderId="13" xfId="0" applyFont="1" applyBorder="1" applyAlignment="1" applyProtection="1">
      <alignment horizontal="left"/>
      <protection locked="0"/>
    </xf>
    <xf numFmtId="0" fontId="0" fillId="0" borderId="43" xfId="0" applyFont="1" applyBorder="1" applyAlignment="1" applyProtection="1">
      <alignment horizontal="left" vertical="center"/>
      <protection locked="0"/>
    </xf>
    <xf numFmtId="0" fontId="0" fillId="0" borderId="32" xfId="0" applyFont="1" applyBorder="1" applyAlignment="1" applyProtection="1">
      <alignment horizontal="left"/>
      <protection locked="0"/>
    </xf>
    <xf numFmtId="0" fontId="0" fillId="0" borderId="85" xfId="0" applyFont="1" applyBorder="1" applyAlignment="1" applyProtection="1">
      <alignment horizontal="left"/>
      <protection locked="0"/>
    </xf>
    <xf numFmtId="0" fontId="0" fillId="0" borderId="52" xfId="0" applyFont="1" applyBorder="1" applyAlignment="1" applyProtection="1">
      <alignment horizontal="left"/>
      <protection locked="0"/>
    </xf>
    <xf numFmtId="0" fontId="0" fillId="0" borderId="74" xfId="0" applyFont="1" applyBorder="1" applyAlignment="1" applyProtection="1">
      <alignment horizontal="left"/>
      <protection locked="0"/>
    </xf>
    <xf numFmtId="0" fontId="0" fillId="0" borderId="62" xfId="0" applyFont="1" applyBorder="1" applyAlignment="1" applyProtection="1">
      <alignment horizontal="left"/>
      <protection locked="0"/>
    </xf>
    <xf numFmtId="0" fontId="0" fillId="0" borderId="51" xfId="0" applyFont="1" applyBorder="1" applyAlignment="1" applyProtection="1">
      <alignment horizontal="left"/>
      <protection locked="0"/>
    </xf>
    <xf numFmtId="0" fontId="0" fillId="0" borderId="24" xfId="0" applyFont="1" applyBorder="1" applyAlignment="1" applyProtection="1">
      <alignment horizontal="left"/>
      <protection locked="0"/>
    </xf>
    <xf numFmtId="0" fontId="0" fillId="0" borderId="69" xfId="0" applyFont="1" applyBorder="1" applyAlignment="1" applyProtection="1">
      <protection locked="0"/>
    </xf>
    <xf numFmtId="0" fontId="14" fillId="0" borderId="20" xfId="0" applyFont="1" applyBorder="1" applyAlignment="1" applyProtection="1"/>
    <xf numFmtId="0" fontId="3" fillId="0" borderId="59" xfId="0" applyFont="1" applyBorder="1" applyAlignment="1" applyProtection="1"/>
    <xf numFmtId="0" fontId="3" fillId="0" borderId="27" xfId="0" applyFont="1" applyBorder="1" applyAlignment="1" applyProtection="1"/>
    <xf numFmtId="0" fontId="3" fillId="0" borderId="0" xfId="0" applyFont="1" applyBorder="1" applyAlignment="1" applyProtection="1">
      <alignment horizontal="left"/>
    </xf>
    <xf numFmtId="0" fontId="0" fillId="0" borderId="6" xfId="0" applyFont="1" applyBorder="1" applyAlignment="1" applyProtection="1">
      <alignment horizontal="left"/>
      <protection locked="0"/>
    </xf>
    <xf numFmtId="0" fontId="3" fillId="0" borderId="58" xfId="0" applyFont="1" applyFill="1" applyBorder="1" applyAlignment="1" applyProtection="1">
      <alignment horizontal="left"/>
    </xf>
    <xf numFmtId="0" fontId="0" fillId="0" borderId="18" xfId="0" applyFill="1" applyBorder="1" applyAlignment="1" applyProtection="1">
      <alignment horizontal="right"/>
    </xf>
    <xf numFmtId="0" fontId="0" fillId="0" borderId="18" xfId="0" applyBorder="1" applyAlignment="1" applyProtection="1">
      <alignment horizontal="right"/>
    </xf>
    <xf numFmtId="0" fontId="0" fillId="0" borderId="18" xfId="0" applyBorder="1" applyProtection="1"/>
    <xf numFmtId="0" fontId="0" fillId="0" borderId="18" xfId="0" applyBorder="1" applyAlignment="1" applyProtection="1">
      <alignment horizontal="left"/>
    </xf>
    <xf numFmtId="0" fontId="0" fillId="0" borderId="18" xfId="0" applyBorder="1" applyAlignment="1" applyProtection="1">
      <alignment horizontal="center"/>
    </xf>
    <xf numFmtId="0" fontId="0" fillId="0" borderId="57" xfId="0" applyBorder="1" applyProtection="1"/>
    <xf numFmtId="0" fontId="10" fillId="0" borderId="17" xfId="0" applyFont="1" applyBorder="1" applyAlignment="1">
      <alignment horizontal="left" vertical="center"/>
    </xf>
    <xf numFmtId="0" fontId="0" fillId="0" borderId="17" xfId="0" applyFont="1" applyBorder="1"/>
    <xf numFmtId="0" fontId="3" fillId="0" borderId="0" xfId="0" applyFont="1" applyFill="1" applyBorder="1" applyAlignment="1" applyProtection="1">
      <alignment horizontal="left"/>
    </xf>
    <xf numFmtId="0" fontId="3" fillId="0" borderId="89" xfId="0" applyFont="1" applyBorder="1" applyAlignment="1" applyProtection="1">
      <alignment wrapText="1"/>
    </xf>
    <xf numFmtId="0" fontId="3" fillId="0" borderId="46" xfId="0" applyFont="1" applyBorder="1" applyAlignment="1" applyProtection="1"/>
    <xf numFmtId="0" fontId="0" fillId="0" borderId="17" xfId="0" applyBorder="1" applyAlignment="1" applyProtection="1">
      <protection locked="0"/>
    </xf>
    <xf numFmtId="0" fontId="0" fillId="0" borderId="57" xfId="0" applyBorder="1" applyAlignment="1" applyProtection="1">
      <alignment horizontal="left"/>
      <protection locked="0"/>
    </xf>
    <xf numFmtId="0" fontId="0" fillId="0" borderId="67" xfId="0" applyBorder="1" applyAlignment="1" applyProtection="1">
      <alignment horizontal="left"/>
      <protection locked="0"/>
    </xf>
    <xf numFmtId="0" fontId="0" fillId="0" borderId="93" xfId="0" applyFont="1" applyBorder="1" applyAlignment="1" applyProtection="1">
      <alignment horizontal="left"/>
      <protection locked="0"/>
    </xf>
    <xf numFmtId="0" fontId="0" fillId="0" borderId="93" xfId="0" applyBorder="1" applyAlignment="1" applyProtection="1">
      <protection locked="0"/>
    </xf>
    <xf numFmtId="0" fontId="0" fillId="0" borderId="93"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80" xfId="0" applyBorder="1" applyAlignment="1" applyProtection="1">
      <alignment horizontal="left"/>
      <protection locked="0"/>
    </xf>
    <xf numFmtId="0" fontId="0" fillId="0" borderId="5" xfId="0" applyFont="1" applyBorder="1" applyProtection="1"/>
    <xf numFmtId="0" fontId="3" fillId="0" borderId="62" xfId="0" applyFont="1" applyBorder="1" applyAlignment="1" applyProtection="1">
      <protection locked="0"/>
    </xf>
    <xf numFmtId="0" fontId="0" fillId="0" borderId="64" xfId="0" applyFont="1" applyBorder="1" applyAlignment="1" applyProtection="1">
      <alignment horizontal="left"/>
      <protection locked="0"/>
    </xf>
    <xf numFmtId="0" fontId="3" fillId="0" borderId="4" xfId="0" applyFont="1" applyBorder="1" applyProtection="1"/>
    <xf numFmtId="0" fontId="3" fillId="0" borderId="1" xfId="0" applyFont="1" applyBorder="1" applyAlignment="1" applyProtection="1">
      <alignment horizontal="left"/>
      <protection locked="0"/>
    </xf>
    <xf numFmtId="0" fontId="0" fillId="0" borderId="1" xfId="0" applyFont="1" applyBorder="1" applyAlignment="1" applyProtection="1">
      <alignment horizontal="left"/>
      <protection locked="0"/>
    </xf>
    <xf numFmtId="0" fontId="3" fillId="0" borderId="1" xfId="0" applyFont="1" applyBorder="1" applyAlignment="1" applyProtection="1">
      <alignment horizontal="center"/>
      <protection locked="0"/>
    </xf>
    <xf numFmtId="0" fontId="0" fillId="0" borderId="1" xfId="0" applyBorder="1" applyAlignment="1" applyProtection="1">
      <protection locked="0"/>
    </xf>
    <xf numFmtId="0" fontId="0" fillId="0" borderId="14" xfId="0" applyBorder="1" applyAlignment="1" applyProtection="1">
      <protection locked="0"/>
    </xf>
    <xf numFmtId="0" fontId="3" fillId="0" borderId="7" xfId="0" applyFont="1" applyBorder="1" applyProtection="1"/>
    <xf numFmtId="0" fontId="0" fillId="0" borderId="94" xfId="0" applyFont="1" applyBorder="1" applyAlignment="1" applyProtection="1">
      <alignment horizontal="left" vertical="center"/>
      <protection locked="0"/>
    </xf>
    <xf numFmtId="0" fontId="0" fillId="0" borderId="94" xfId="0" applyFont="1" applyBorder="1" applyAlignment="1" applyProtection="1">
      <alignment horizontal="left"/>
      <protection locked="0"/>
    </xf>
    <xf numFmtId="0" fontId="0" fillId="0" borderId="94" xfId="0" applyBorder="1" applyAlignment="1" applyProtection="1">
      <protection locked="0"/>
    </xf>
    <xf numFmtId="0" fontId="0" fillId="0" borderId="94" xfId="0" applyBorder="1" applyAlignment="1" applyProtection="1">
      <alignment horizontal="center"/>
      <protection locked="0"/>
    </xf>
    <xf numFmtId="0" fontId="0" fillId="0" borderId="73" xfId="0" applyBorder="1" applyAlignment="1" applyProtection="1">
      <alignment horizontal="left"/>
      <protection locked="0"/>
    </xf>
    <xf numFmtId="0" fontId="3" fillId="0" borderId="72" xfId="0" applyFont="1" applyBorder="1" applyAlignment="1" applyProtection="1">
      <alignment horizontal="left"/>
      <protection locked="0"/>
    </xf>
    <xf numFmtId="0" fontId="0" fillId="0" borderId="72" xfId="0" applyBorder="1" applyAlignment="1" applyProtection="1">
      <alignment horizontal="right"/>
      <protection locked="0"/>
    </xf>
    <xf numFmtId="0" fontId="0" fillId="0" borderId="72" xfId="0" applyFont="1" applyBorder="1" applyAlignment="1" applyProtection="1">
      <alignment horizontal="left"/>
      <protection locked="0"/>
    </xf>
    <xf numFmtId="0" fontId="0" fillId="0" borderId="97" xfId="0" applyFont="1" applyBorder="1" applyAlignment="1" applyProtection="1">
      <alignment horizontal="left"/>
      <protection locked="0"/>
    </xf>
    <xf numFmtId="0" fontId="0" fillId="0" borderId="98" xfId="0" applyFont="1" applyBorder="1" applyAlignment="1" applyProtection="1">
      <alignment horizontal="left"/>
      <protection locked="0"/>
    </xf>
    <xf numFmtId="0" fontId="0" fillId="0" borderId="98" xfId="0" applyBorder="1" applyAlignment="1" applyProtection="1">
      <protection locked="0"/>
    </xf>
    <xf numFmtId="0" fontId="0" fillId="0" borderId="98" xfId="0" applyBorder="1" applyAlignment="1" applyProtection="1">
      <alignment horizontal="center"/>
      <protection locked="0"/>
    </xf>
    <xf numFmtId="0" fontId="0" fillId="0" borderId="82" xfId="0" applyBorder="1" applyAlignment="1" applyProtection="1">
      <alignment horizontal="center"/>
      <protection locked="0"/>
    </xf>
    <xf numFmtId="0" fontId="0" fillId="0" borderId="84" xfId="0" applyBorder="1" applyAlignment="1" applyProtection="1">
      <alignment horizontal="left"/>
      <protection locked="0"/>
    </xf>
    <xf numFmtId="0" fontId="0" fillId="0" borderId="81" xfId="0" applyBorder="1" applyAlignment="1" applyProtection="1">
      <alignment horizontal="right"/>
      <protection locked="0"/>
    </xf>
    <xf numFmtId="0" fontId="0" fillId="0" borderId="100" xfId="0" applyBorder="1" applyAlignment="1" applyProtection="1">
      <protection locked="0"/>
    </xf>
    <xf numFmtId="0" fontId="3" fillId="0" borderId="101" xfId="0" applyFont="1" applyBorder="1" applyAlignment="1" applyProtection="1">
      <alignment horizontal="left"/>
      <protection locked="0"/>
    </xf>
    <xf numFmtId="0" fontId="0" fillId="0" borderId="101" xfId="0" applyFont="1" applyBorder="1" applyAlignment="1" applyProtection="1">
      <alignment horizontal="left"/>
      <protection locked="0"/>
    </xf>
    <xf numFmtId="0" fontId="3" fillId="0" borderId="102" xfId="0" applyFont="1" applyBorder="1" applyAlignment="1" applyProtection="1">
      <alignment horizontal="center"/>
      <protection locked="0"/>
    </xf>
    <xf numFmtId="0" fontId="0" fillId="0" borderId="105" xfId="0" applyFill="1" applyBorder="1"/>
    <xf numFmtId="0" fontId="0" fillId="0" borderId="0" xfId="0" applyFill="1" applyBorder="1"/>
    <xf numFmtId="0" fontId="0" fillId="0" borderId="76" xfId="0" applyFont="1" applyFill="1" applyBorder="1" applyAlignment="1" applyProtection="1">
      <alignment vertical="top"/>
    </xf>
    <xf numFmtId="0" fontId="0" fillId="0" borderId="0" xfId="0" applyFont="1" applyFill="1" applyBorder="1" applyAlignment="1" applyProtection="1">
      <alignment vertical="top"/>
    </xf>
    <xf numFmtId="0" fontId="0" fillId="0" borderId="0" xfId="0" applyFont="1" applyBorder="1" applyAlignment="1">
      <alignment horizontal="left" vertical="center" indent="1"/>
    </xf>
    <xf numFmtId="0" fontId="0" fillId="0" borderId="0" xfId="0" applyFont="1" applyBorder="1" applyAlignment="1" applyProtection="1">
      <alignment horizontal="left"/>
    </xf>
    <xf numFmtId="0" fontId="0" fillId="0" borderId="0" xfId="0" applyFont="1" applyBorder="1" applyAlignment="1" applyProtection="1">
      <alignment horizontal="center"/>
    </xf>
    <xf numFmtId="0" fontId="0" fillId="0" borderId="0" xfId="0" applyFont="1" applyBorder="1" applyProtection="1"/>
    <xf numFmtId="0" fontId="0" fillId="0" borderId="77" xfId="0" applyFont="1" applyBorder="1" applyProtection="1"/>
    <xf numFmtId="0" fontId="3" fillId="0" borderId="106" xfId="0" applyFont="1" applyFill="1" applyBorder="1" applyAlignment="1" applyProtection="1">
      <alignment horizontal="left"/>
    </xf>
    <xf numFmtId="0" fontId="0" fillId="0" borderId="8" xfId="0" applyFill="1" applyBorder="1" applyAlignment="1" applyProtection="1">
      <alignment horizontal="right"/>
    </xf>
    <xf numFmtId="0" fontId="0" fillId="0" borderId="8" xfId="0" applyBorder="1" applyAlignment="1" applyProtection="1">
      <alignment horizontal="right"/>
    </xf>
    <xf numFmtId="0" fontId="0" fillId="0" borderId="8" xfId="0" applyBorder="1" applyAlignment="1" applyProtection="1">
      <alignment horizontal="left"/>
    </xf>
    <xf numFmtId="0" fontId="0" fillId="0" borderId="107" xfId="0" applyBorder="1" applyProtection="1"/>
    <xf numFmtId="0" fontId="3" fillId="0" borderId="11" xfId="0" applyFont="1" applyBorder="1" applyAlignment="1" applyProtection="1">
      <alignment horizontal="left" vertical="center" wrapText="1"/>
    </xf>
    <xf numFmtId="0" fontId="17" fillId="0" borderId="0" xfId="0" applyFont="1" applyBorder="1" applyAlignment="1" applyProtection="1">
      <alignment horizontal="left"/>
    </xf>
    <xf numFmtId="0" fontId="0" fillId="0" borderId="0" xfId="0" applyAlignment="1"/>
    <xf numFmtId="164" fontId="0" fillId="0" borderId="0" xfId="0" applyNumberFormat="1" applyBorder="1" applyAlignment="1" applyProtection="1">
      <alignment horizontal="center"/>
      <protection locked="0"/>
    </xf>
    <xf numFmtId="0" fontId="3" fillId="0" borderId="0" xfId="0" applyFont="1" applyFill="1" applyBorder="1" applyAlignment="1" applyProtection="1"/>
    <xf numFmtId="0" fontId="16" fillId="0" borderId="0" xfId="0" applyFont="1" applyBorder="1" applyAlignment="1" applyProtection="1">
      <alignment horizontal="left"/>
    </xf>
    <xf numFmtId="0" fontId="13" fillId="0" borderId="0" xfId="0" applyFont="1" applyBorder="1" applyAlignment="1" applyProtection="1">
      <alignment horizontal="left"/>
    </xf>
    <xf numFmtId="0" fontId="16" fillId="0" borderId="0" xfId="0" applyFont="1" applyBorder="1" applyAlignment="1" applyProtection="1"/>
    <xf numFmtId="164" fontId="16" fillId="0" borderId="0" xfId="0" applyNumberFormat="1" applyFont="1" applyBorder="1" applyAlignment="1" applyProtection="1">
      <protection locked="0"/>
    </xf>
    <xf numFmtId="0" fontId="10" fillId="0" borderId="12" xfId="0" applyFont="1" applyBorder="1" applyAlignment="1">
      <alignment horizontal="center" vertical="center" wrapText="1"/>
    </xf>
    <xf numFmtId="0" fontId="3" fillId="0" borderId="20" xfId="0" applyFont="1" applyBorder="1" applyAlignment="1" applyProtection="1">
      <alignment horizontal="left"/>
    </xf>
    <xf numFmtId="0" fontId="3" fillId="0" borderId="20" xfId="0" applyFont="1" applyBorder="1" applyAlignment="1" applyProtection="1">
      <alignment horizontal="center"/>
      <protection locked="0"/>
    </xf>
    <xf numFmtId="0" fontId="0" fillId="0" borderId="8" xfId="0" applyBorder="1" applyAlignment="1">
      <alignment horizontal="center"/>
    </xf>
    <xf numFmtId="0" fontId="0" fillId="0" borderId="4" xfId="0" applyBorder="1"/>
    <xf numFmtId="0" fontId="0" fillId="0" borderId="14" xfId="0" applyBorder="1" applyProtection="1"/>
    <xf numFmtId="0" fontId="0" fillId="0" borderId="0" xfId="0" applyBorder="1" applyAlignment="1">
      <alignment horizontal="center"/>
    </xf>
    <xf numFmtId="164" fontId="16" fillId="0" borderId="9" xfId="0" applyNumberFormat="1" applyFont="1" applyBorder="1" applyAlignment="1" applyProtection="1">
      <protection locked="0"/>
    </xf>
    <xf numFmtId="164" fontId="0" fillId="0" borderId="9" xfId="0" applyNumberFormat="1" applyBorder="1" applyAlignment="1" applyProtection="1">
      <alignment horizontal="center"/>
      <protection locked="0"/>
    </xf>
    <xf numFmtId="0" fontId="0" fillId="0" borderId="9" xfId="0" applyBorder="1" applyAlignment="1" applyProtection="1">
      <protection locked="0"/>
    </xf>
    <xf numFmtId="0" fontId="0" fillId="0" borderId="5" xfId="0" applyBorder="1" applyProtection="1"/>
    <xf numFmtId="0" fontId="9" fillId="0" borderId="6" xfId="0" applyFont="1" applyBorder="1" applyAlignment="1" applyProtection="1">
      <alignment horizontal="left"/>
    </xf>
    <xf numFmtId="0" fontId="0" fillId="0" borderId="6" xfId="0" applyBorder="1" applyAlignment="1" applyProtection="1">
      <alignment horizontal="left"/>
    </xf>
    <xf numFmtId="0" fontId="0" fillId="0" borderId="6" xfId="0" applyBorder="1" applyAlignment="1" applyProtection="1">
      <alignment horizontal="center"/>
    </xf>
    <xf numFmtId="0" fontId="0" fillId="0" borderId="6" xfId="0" applyBorder="1" applyProtection="1"/>
    <xf numFmtId="0" fontId="0" fillId="0" borderId="6" xfId="0" applyFill="1" applyBorder="1" applyAlignment="1" applyProtection="1">
      <alignment horizontal="left"/>
    </xf>
    <xf numFmtId="0" fontId="0" fillId="0" borderId="105" xfId="0" applyFill="1" applyBorder="1" applyAlignment="1">
      <alignment horizontal="left"/>
    </xf>
    <xf numFmtId="0" fontId="6" fillId="0" borderId="8" xfId="0" applyFont="1" applyBorder="1" applyAlignment="1" applyProtection="1">
      <alignment horizontal="left"/>
    </xf>
    <xf numFmtId="0" fontId="3" fillId="0" borderId="17" xfId="0" applyFont="1" applyBorder="1" applyProtection="1"/>
    <xf numFmtId="0" fontId="0" fillId="0" borderId="58" xfId="0" applyBorder="1" applyAlignment="1">
      <alignment horizontal="left" vertical="top" wrapText="1"/>
    </xf>
    <xf numFmtId="0" fontId="0" fillId="0" borderId="18" xfId="0" applyBorder="1" applyAlignment="1">
      <alignment horizontal="left" vertical="top" wrapText="1"/>
    </xf>
    <xf numFmtId="0" fontId="0" fillId="0" borderId="57" xfId="0" applyBorder="1" applyAlignment="1">
      <alignment horizontal="left" vertical="top" wrapText="1"/>
    </xf>
    <xf numFmtId="0" fontId="0" fillId="0" borderId="0" xfId="0" applyAlignment="1">
      <alignment horizontal="left" vertical="top"/>
    </xf>
    <xf numFmtId="0" fontId="0" fillId="0" borderId="77" xfId="0" applyBorder="1" applyAlignment="1">
      <alignment horizontal="left" vertical="top"/>
    </xf>
    <xf numFmtId="0" fontId="0" fillId="0" borderId="76" xfId="0" applyBorder="1" applyAlignment="1">
      <alignment horizontal="left" vertical="top"/>
    </xf>
    <xf numFmtId="0" fontId="0" fillId="0" borderId="0" xfId="0" applyBorder="1" applyAlignment="1">
      <alignment horizontal="left" vertical="top"/>
    </xf>
    <xf numFmtId="0" fontId="0" fillId="0" borderId="63" xfId="0" applyBorder="1" applyAlignment="1" applyProtection="1">
      <protection locked="0"/>
    </xf>
    <xf numFmtId="0" fontId="0" fillId="0" borderId="16" xfId="0" applyBorder="1" applyAlignment="1" applyProtection="1">
      <protection locked="0"/>
    </xf>
    <xf numFmtId="0" fontId="0" fillId="0" borderId="72" xfId="0" applyBorder="1" applyAlignment="1" applyProtection="1">
      <protection locked="0"/>
    </xf>
    <xf numFmtId="0" fontId="0" fillId="0" borderId="71" xfId="0" applyBorder="1" applyAlignment="1" applyProtection="1">
      <protection locked="0"/>
    </xf>
    <xf numFmtId="0" fontId="0" fillId="0" borderId="38" xfId="0" applyBorder="1" applyAlignment="1" applyProtection="1">
      <protection locked="0"/>
    </xf>
    <xf numFmtId="0" fontId="0" fillId="0" borderId="61" xfId="0" applyBorder="1" applyAlignment="1" applyProtection="1">
      <protection locked="0"/>
    </xf>
    <xf numFmtId="0" fontId="0" fillId="0" borderId="47" xfId="0" applyBorder="1" applyAlignment="1" applyProtection="1">
      <protection locked="0"/>
    </xf>
    <xf numFmtId="0" fontId="0" fillId="0" borderId="18" xfId="0" applyBorder="1" applyAlignment="1" applyProtection="1">
      <protection locked="0"/>
    </xf>
    <xf numFmtId="0" fontId="0" fillId="0" borderId="48" xfId="0" applyBorder="1" applyAlignment="1" applyProtection="1">
      <protection locked="0"/>
    </xf>
    <xf numFmtId="0" fontId="0" fillId="0" borderId="19" xfId="0" applyBorder="1" applyAlignment="1" applyProtection="1">
      <protection locked="0"/>
    </xf>
    <xf numFmtId="0" fontId="0" fillId="0" borderId="53" xfId="0" applyBorder="1" applyAlignment="1" applyProtection="1">
      <protection locked="0"/>
    </xf>
    <xf numFmtId="0" fontId="0" fillId="0" borderId="56" xfId="0" applyBorder="1" applyAlignment="1" applyProtection="1">
      <protection locked="0"/>
    </xf>
    <xf numFmtId="0" fontId="0" fillId="0" borderId="33" xfId="0" applyBorder="1" applyAlignment="1" applyProtection="1">
      <alignment horizontal="center"/>
      <protection locked="0"/>
    </xf>
    <xf numFmtId="0" fontId="0" fillId="0" borderId="36" xfId="0" applyBorder="1" applyAlignment="1" applyProtection="1">
      <alignment horizontal="center"/>
      <protection locked="0"/>
    </xf>
    <xf numFmtId="0" fontId="0" fillId="0" borderId="35" xfId="0" applyBorder="1" applyAlignment="1" applyProtection="1">
      <alignment horizontal="center"/>
      <protection locked="0"/>
    </xf>
    <xf numFmtId="0" fontId="0" fillId="0" borderId="34" xfId="0" applyBorder="1" applyAlignment="1" applyProtection="1">
      <alignment horizontal="center"/>
      <protection locked="0"/>
    </xf>
    <xf numFmtId="0" fontId="0" fillId="0" borderId="95" xfId="0" applyBorder="1" applyAlignment="1" applyProtection="1">
      <protection locked="0"/>
    </xf>
    <xf numFmtId="0" fontId="0" fillId="0" borderId="96" xfId="0" applyBorder="1" applyAlignment="1" applyProtection="1">
      <protection locked="0"/>
    </xf>
    <xf numFmtId="0" fontId="0" fillId="0" borderId="49" xfId="0" applyBorder="1" applyAlignment="1" applyProtection="1">
      <protection locked="0"/>
    </xf>
    <xf numFmtId="0" fontId="0" fillId="0" borderId="45" xfId="0" applyBorder="1" applyAlignment="1" applyProtection="1">
      <protection locked="0"/>
    </xf>
    <xf numFmtId="0" fontId="0" fillId="0" borderId="44" xfId="0" applyBorder="1" applyAlignment="1" applyProtection="1">
      <protection locked="0"/>
    </xf>
    <xf numFmtId="0" fontId="0" fillId="0" borderId="50" xfId="0" applyBorder="1" applyAlignment="1" applyProtection="1">
      <protection locked="0"/>
    </xf>
    <xf numFmtId="0" fontId="0" fillId="0" borderId="6" xfId="0" applyBorder="1" applyAlignment="1" applyProtection="1">
      <protection locked="0"/>
    </xf>
    <xf numFmtId="0" fontId="0" fillId="0" borderId="64" xfId="0" applyBorder="1" applyAlignment="1" applyProtection="1">
      <protection locked="0"/>
    </xf>
    <xf numFmtId="0" fontId="3" fillId="0" borderId="70" xfId="0" applyFont="1" applyBorder="1" applyAlignment="1" applyProtection="1">
      <alignment horizontal="left"/>
      <protection locked="0"/>
    </xf>
    <xf numFmtId="0" fontId="3" fillId="0" borderId="72" xfId="0" applyFont="1" applyBorder="1" applyAlignment="1" applyProtection="1">
      <alignment horizontal="left"/>
      <protection locked="0"/>
    </xf>
    <xf numFmtId="0" fontId="11" fillId="0" borderId="76" xfId="0" applyFont="1" applyFill="1" applyBorder="1" applyAlignment="1" applyProtection="1">
      <alignment horizontal="center" vertical="center"/>
    </xf>
    <xf numFmtId="0" fontId="11" fillId="0" borderId="81" xfId="0" applyFont="1" applyFill="1" applyBorder="1" applyAlignment="1" applyProtection="1">
      <alignment horizontal="center" vertical="center"/>
    </xf>
    <xf numFmtId="0" fontId="11" fillId="0" borderId="84" xfId="0" applyFont="1" applyFill="1" applyBorder="1" applyAlignment="1" applyProtection="1">
      <alignment horizontal="center" vertical="center"/>
    </xf>
    <xf numFmtId="0" fontId="11" fillId="0" borderId="78" xfId="0" applyFont="1" applyFill="1" applyBorder="1" applyAlignment="1" applyProtection="1">
      <alignment horizontal="center" vertical="center"/>
    </xf>
    <xf numFmtId="0" fontId="11" fillId="0" borderId="79" xfId="0" applyFont="1" applyFill="1" applyBorder="1" applyAlignment="1" applyProtection="1">
      <alignment horizontal="center" vertical="center"/>
    </xf>
    <xf numFmtId="0" fontId="11" fillId="0" borderId="80" xfId="0" applyFont="1" applyFill="1" applyBorder="1" applyAlignment="1" applyProtection="1">
      <alignment horizontal="center" vertical="center"/>
    </xf>
    <xf numFmtId="0" fontId="0" fillId="0" borderId="6" xfId="0" applyBorder="1" applyAlignment="1" applyProtection="1">
      <alignment horizontal="center"/>
      <protection locked="0"/>
    </xf>
    <xf numFmtId="0" fontId="0" fillId="0" borderId="16" xfId="0" applyBorder="1" applyAlignment="1" applyProtection="1">
      <alignment horizontal="center"/>
      <protection locked="0"/>
    </xf>
    <xf numFmtId="0" fontId="0" fillId="0" borderId="70" xfId="0" applyBorder="1" applyAlignment="1" applyProtection="1">
      <protection locked="0"/>
    </xf>
    <xf numFmtId="0" fontId="0" fillId="0" borderId="73" xfId="0" applyBorder="1" applyAlignment="1" applyProtection="1">
      <protection locked="0"/>
    </xf>
    <xf numFmtId="0" fontId="0" fillId="0" borderId="68" xfId="0" applyBorder="1" applyAlignment="1" applyProtection="1">
      <protection locked="0"/>
    </xf>
    <xf numFmtId="0" fontId="0" fillId="0" borderId="103" xfId="0" applyBorder="1" applyAlignment="1" applyProtection="1">
      <protection locked="0"/>
    </xf>
    <xf numFmtId="0" fontId="0" fillId="0" borderId="69" xfId="0" applyBorder="1" applyAlignment="1" applyProtection="1">
      <protection locked="0"/>
    </xf>
    <xf numFmtId="0" fontId="0" fillId="0" borderId="70" xfId="0" applyBorder="1" applyAlignment="1" applyProtection="1">
      <alignment horizontal="right"/>
      <protection locked="0"/>
    </xf>
    <xf numFmtId="0" fontId="0" fillId="0" borderId="71" xfId="0" applyBorder="1" applyAlignment="1" applyProtection="1">
      <alignment horizontal="right"/>
      <protection locked="0"/>
    </xf>
    <xf numFmtId="0" fontId="0" fillId="0" borderId="68" xfId="0" applyBorder="1" applyAlignment="1" applyProtection="1">
      <alignment horizontal="right"/>
      <protection locked="0"/>
    </xf>
    <xf numFmtId="0" fontId="0" fillId="0" borderId="104" xfId="0" applyBorder="1" applyAlignment="1" applyProtection="1">
      <protection locked="0"/>
    </xf>
    <xf numFmtId="0" fontId="0" fillId="0" borderId="82" xfId="0" applyBorder="1" applyAlignment="1" applyProtection="1">
      <protection locked="0"/>
    </xf>
    <xf numFmtId="0" fontId="0" fillId="0" borderId="81" xfId="0" applyBorder="1" applyAlignment="1" applyProtection="1">
      <protection locked="0"/>
    </xf>
    <xf numFmtId="0" fontId="0" fillId="0" borderId="99" xfId="0" applyBorder="1" applyAlignment="1" applyProtection="1">
      <protection locked="0"/>
    </xf>
    <xf numFmtId="0" fontId="18" fillId="0" borderId="27" xfId="0" applyFont="1" applyBorder="1" applyAlignment="1" applyProtection="1">
      <alignment horizontal="right"/>
    </xf>
    <xf numFmtId="0" fontId="18" fillId="0" borderId="26" xfId="0" applyFont="1" applyBorder="1" applyAlignment="1" applyProtection="1">
      <alignment horizontal="right"/>
    </xf>
    <xf numFmtId="0" fontId="0" fillId="0" borderId="82" xfId="0" applyFont="1" applyFill="1" applyBorder="1" applyAlignment="1" applyProtection="1">
      <alignment horizontal="left" vertical="top" wrapText="1"/>
    </xf>
    <xf numFmtId="0" fontId="0" fillId="0" borderId="81" xfId="0" applyFont="1" applyFill="1" applyBorder="1" applyAlignment="1" applyProtection="1">
      <alignment horizontal="left" vertical="top" wrapText="1"/>
    </xf>
    <xf numFmtId="0" fontId="0" fillId="0" borderId="84" xfId="0" applyFont="1" applyFill="1" applyBorder="1" applyAlignment="1" applyProtection="1">
      <alignment horizontal="left" vertical="top" wrapText="1"/>
    </xf>
    <xf numFmtId="0" fontId="3" fillId="0" borderId="82" xfId="0" applyFont="1" applyBorder="1" applyAlignment="1" applyProtection="1">
      <alignment horizontal="left" vertical="top" wrapText="1"/>
    </xf>
    <xf numFmtId="0" fontId="3" fillId="0" borderId="81" xfId="0" applyFont="1" applyBorder="1" applyAlignment="1" applyProtection="1">
      <alignment horizontal="left" vertical="top" wrapText="1"/>
    </xf>
    <xf numFmtId="0" fontId="3" fillId="0" borderId="84" xfId="0" applyFont="1" applyBorder="1" applyAlignment="1" applyProtection="1">
      <alignment horizontal="left" vertical="top" wrapText="1"/>
    </xf>
    <xf numFmtId="0" fontId="3" fillId="0" borderId="76" xfId="0" applyFont="1" applyBorder="1" applyAlignment="1" applyProtection="1">
      <alignment horizontal="left" vertical="top" wrapText="1"/>
    </xf>
    <xf numFmtId="0" fontId="3" fillId="0" borderId="0" xfId="0" applyFont="1" applyBorder="1" applyAlignment="1" applyProtection="1">
      <alignment horizontal="left" vertical="top" wrapText="1"/>
    </xf>
    <xf numFmtId="0" fontId="3" fillId="0" borderId="77" xfId="0" applyFont="1" applyBorder="1" applyAlignment="1" applyProtection="1">
      <alignment horizontal="left" vertical="top" wrapText="1"/>
    </xf>
    <xf numFmtId="0" fontId="0" fillId="0" borderId="76" xfId="0" applyFont="1" applyFill="1" applyBorder="1" applyAlignment="1" applyProtection="1">
      <alignment vertical="top"/>
    </xf>
    <xf numFmtId="0" fontId="0" fillId="0" borderId="0" xfId="0" applyAlignment="1"/>
    <xf numFmtId="0" fontId="0" fillId="0" borderId="77" xfId="0" applyBorder="1" applyAlignment="1"/>
    <xf numFmtId="0" fontId="0" fillId="0" borderId="23" xfId="0" applyBorder="1" applyAlignment="1" applyProtection="1">
      <protection locked="0"/>
    </xf>
    <xf numFmtId="0" fontId="0" fillId="0" borderId="20" xfId="0" applyBorder="1" applyAlignment="1" applyProtection="1">
      <protection locked="0"/>
    </xf>
    <xf numFmtId="0" fontId="0" fillId="0" borderId="24" xfId="0" applyBorder="1" applyAlignment="1" applyProtection="1">
      <protection locked="0"/>
    </xf>
    <xf numFmtId="0" fontId="0" fillId="0" borderId="39" xfId="0" applyBorder="1" applyAlignment="1" applyProtection="1">
      <protection locked="0"/>
    </xf>
    <xf numFmtId="0" fontId="0" fillId="0" borderId="60" xfId="0" applyBorder="1" applyAlignment="1" applyProtection="1">
      <protection locked="0"/>
    </xf>
    <xf numFmtId="0" fontId="0" fillId="0" borderId="54" xfId="0" applyBorder="1" applyAlignment="1" applyProtection="1">
      <protection locked="0"/>
    </xf>
    <xf numFmtId="0" fontId="0" fillId="0" borderId="55" xfId="0" applyBorder="1" applyAlignment="1" applyProtection="1">
      <protection locked="0"/>
    </xf>
    <xf numFmtId="0" fontId="11" fillId="0" borderId="8" xfId="0" applyFont="1" applyBorder="1" applyAlignment="1" applyProtection="1">
      <alignment horizontal="center"/>
      <protection locked="0"/>
    </xf>
    <xf numFmtId="0" fontId="0" fillId="0" borderId="0" xfId="0" applyBorder="1" applyAlignment="1" applyProtection="1">
      <alignment horizontal="center"/>
    </xf>
    <xf numFmtId="0" fontId="3" fillId="0" borderId="108" xfId="0" applyFont="1" applyBorder="1" applyAlignment="1" applyProtection="1">
      <alignment horizontal="left" vertical="center"/>
    </xf>
    <xf numFmtId="0" fontId="3" fillId="0" borderId="37" xfId="0" applyFont="1" applyBorder="1" applyAlignment="1" applyProtection="1">
      <alignment horizontal="left" vertical="center"/>
    </xf>
    <xf numFmtId="0" fontId="19" fillId="0" borderId="90" xfId="0" applyFont="1" applyBorder="1" applyAlignment="1" applyProtection="1">
      <alignment horizontal="left"/>
      <protection locked="0"/>
    </xf>
    <xf numFmtId="0" fontId="19" fillId="0" borderId="91" xfId="0" applyFont="1" applyBorder="1" applyAlignment="1" applyProtection="1">
      <alignment horizontal="left"/>
      <protection locked="0"/>
    </xf>
    <xf numFmtId="0" fontId="19" fillId="0" borderId="83" xfId="0" applyFont="1" applyBorder="1" applyAlignment="1" applyProtection="1">
      <alignment horizontal="left"/>
      <protection locked="0"/>
    </xf>
    <xf numFmtId="0" fontId="19" fillId="0" borderId="92" xfId="0" applyFont="1" applyBorder="1" applyAlignment="1" applyProtection="1">
      <alignment horizontal="left"/>
      <protection locked="0"/>
    </xf>
    <xf numFmtId="0" fontId="7" fillId="0" borderId="29" xfId="0" applyFont="1" applyBorder="1" applyAlignment="1" applyProtection="1">
      <alignment horizontal="left"/>
      <protection locked="0"/>
    </xf>
    <xf numFmtId="0" fontId="7" fillId="0" borderId="30" xfId="0" applyFont="1" applyBorder="1" applyAlignment="1" applyProtection="1">
      <alignment horizontal="left"/>
      <protection locked="0"/>
    </xf>
    <xf numFmtId="0" fontId="0" fillId="0" borderId="41" xfId="0" applyBorder="1" applyAlignment="1" applyProtection="1">
      <protection locked="0"/>
    </xf>
    <xf numFmtId="0" fontId="3" fillId="0" borderId="25" xfId="0" applyFont="1" applyBorder="1" applyAlignment="1" applyProtection="1">
      <alignment horizontal="center" vertical="center" wrapText="1"/>
    </xf>
    <xf numFmtId="0" fontId="3" fillId="0" borderId="28" xfId="0" applyFont="1" applyBorder="1" applyAlignment="1" applyProtection="1">
      <alignment horizontal="center" vertical="center" wrapText="1"/>
    </xf>
    <xf numFmtId="0" fontId="13" fillId="0" borderId="21" xfId="0" applyFont="1" applyBorder="1" applyAlignment="1" applyProtection="1">
      <alignment horizontal="left"/>
      <protection locked="0"/>
    </xf>
    <xf numFmtId="0" fontId="3" fillId="0" borderId="21" xfId="0" applyFont="1" applyBorder="1" applyAlignment="1" applyProtection="1">
      <alignment horizontal="left"/>
      <protection locked="0"/>
    </xf>
    <xf numFmtId="0" fontId="3" fillId="0" borderId="22" xfId="0" applyFont="1" applyBorder="1" applyAlignment="1" applyProtection="1">
      <alignment horizontal="left"/>
      <protection locked="0"/>
    </xf>
    <xf numFmtId="0" fontId="3" fillId="0" borderId="25" xfId="0" applyFont="1" applyBorder="1" applyAlignment="1" applyProtection="1">
      <alignment horizontal="center" vertical="center" wrapText="1"/>
      <protection locked="0"/>
    </xf>
    <xf numFmtId="0" fontId="0" fillId="0" borderId="26" xfId="0" applyBorder="1" applyAlignment="1">
      <alignment horizontal="center" vertical="center" wrapText="1"/>
    </xf>
    <xf numFmtId="0" fontId="3" fillId="0" borderId="25" xfId="0" applyFont="1"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40" xfId="0" applyBorder="1" applyAlignment="1" applyProtection="1">
      <protection locked="0"/>
    </xf>
    <xf numFmtId="0" fontId="0" fillId="0" borderId="42" xfId="0" applyBorder="1" applyAlignment="1" applyProtection="1">
      <protection locked="0"/>
    </xf>
    <xf numFmtId="0" fontId="0" fillId="0" borderId="31" xfId="0" applyBorder="1" applyAlignment="1" applyProtection="1">
      <protection locked="0"/>
    </xf>
  </cellXfs>
  <cellStyles count="1">
    <cellStyle name="Normal"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37</xdr:row>
      <xdr:rowOff>0</xdr:rowOff>
    </xdr:from>
    <xdr:to>
      <xdr:col>1</xdr:col>
      <xdr:colOff>266700</xdr:colOff>
      <xdr:row>38</xdr:row>
      <xdr:rowOff>66675</xdr:rowOff>
    </xdr:to>
    <xdr:sp macro="" textlink="">
      <xdr:nvSpPr>
        <xdr:cNvPr id="1083" name="AutoShape 1" descr="https://cmsweb.csueastbay.edu/cs/HEBPRD/cache/PT_PIXEL_1.gif"/>
        <xdr:cNvSpPr>
          <a:spLocks noChangeAspect="1" noChangeArrowheads="1"/>
        </xdr:cNvSpPr>
      </xdr:nvSpPr>
      <xdr:spPr bwMode="auto">
        <a:xfrm>
          <a:off x="876300" y="8229600"/>
          <a:ext cx="2667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xdr:col>
      <xdr:colOff>276225</xdr:colOff>
      <xdr:row>37</xdr:row>
      <xdr:rowOff>0</xdr:rowOff>
    </xdr:from>
    <xdr:to>
      <xdr:col>1</xdr:col>
      <xdr:colOff>542925</xdr:colOff>
      <xdr:row>38</xdr:row>
      <xdr:rowOff>66675</xdr:rowOff>
    </xdr:to>
    <xdr:sp macro="" textlink="">
      <xdr:nvSpPr>
        <xdr:cNvPr id="1084" name="AutoShape 2" descr="https://cmsweb.csueastbay.edu/cs/HEBPRD/cache/PT_PIXEL_1.gif"/>
        <xdr:cNvSpPr>
          <a:spLocks noChangeAspect="1" noChangeArrowheads="1"/>
        </xdr:cNvSpPr>
      </xdr:nvSpPr>
      <xdr:spPr bwMode="auto">
        <a:xfrm>
          <a:off x="1152525" y="8229600"/>
          <a:ext cx="2667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190500</xdr:colOff>
      <xdr:row>0</xdr:row>
      <xdr:rowOff>104775</xdr:rowOff>
    </xdr:from>
    <xdr:to>
      <xdr:col>1</xdr:col>
      <xdr:colOff>85725</xdr:colOff>
      <xdr:row>1</xdr:row>
      <xdr:rowOff>161925</xdr:rowOff>
    </xdr:to>
    <xdr:pic>
      <xdr:nvPicPr>
        <xdr:cNvPr id="1085" name="Picture 3" descr="CSUEB_Logo_CMYK_small.tif"/>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0" y="104775"/>
          <a:ext cx="121920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50</xdr:row>
      <xdr:rowOff>0</xdr:rowOff>
    </xdr:from>
    <xdr:to>
      <xdr:col>1</xdr:col>
      <xdr:colOff>266700</xdr:colOff>
      <xdr:row>51</xdr:row>
      <xdr:rowOff>123825</xdr:rowOff>
    </xdr:to>
    <xdr:sp macro="" textlink="">
      <xdr:nvSpPr>
        <xdr:cNvPr id="1086" name="AutoShape 3" descr="https://cmsweb.csueastbay.edu/cs/HEBPRD/cache/PT_PIXEL_1.gif"/>
        <xdr:cNvSpPr>
          <a:spLocks noChangeAspect="1" noChangeArrowheads="1"/>
        </xdr:cNvSpPr>
      </xdr:nvSpPr>
      <xdr:spPr bwMode="auto">
        <a:xfrm>
          <a:off x="876300" y="9134475"/>
          <a:ext cx="266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xdr:col>
      <xdr:colOff>276225</xdr:colOff>
      <xdr:row>50</xdr:row>
      <xdr:rowOff>0</xdr:rowOff>
    </xdr:from>
    <xdr:to>
      <xdr:col>1</xdr:col>
      <xdr:colOff>542925</xdr:colOff>
      <xdr:row>51</xdr:row>
      <xdr:rowOff>123825</xdr:rowOff>
    </xdr:to>
    <xdr:sp macro="" textlink="">
      <xdr:nvSpPr>
        <xdr:cNvPr id="1087" name="AutoShape 4" descr="https://cmsweb.csueastbay.edu/cs/HEBPRD/cache/PT_PIXEL_1.gif"/>
        <xdr:cNvSpPr>
          <a:spLocks noChangeAspect="1" noChangeArrowheads="1"/>
        </xdr:cNvSpPr>
      </xdr:nvSpPr>
      <xdr:spPr bwMode="auto">
        <a:xfrm>
          <a:off x="1152525" y="9134475"/>
          <a:ext cx="266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6</xdr:col>
          <xdr:colOff>28575</xdr:colOff>
          <xdr:row>1</xdr:row>
          <xdr:rowOff>9525</xdr:rowOff>
        </xdr:from>
        <xdr:to>
          <xdr:col>6</xdr:col>
          <xdr:colOff>304800</xdr:colOff>
          <xdr:row>2</xdr:row>
          <xdr:rowOff>0</xdr:rowOff>
        </xdr:to>
        <xdr:sp macro="" textlink="">
          <xdr:nvSpPr>
            <xdr:cNvPr id="1033" name="Check Box 9"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xdr:row>
          <xdr:rowOff>9525</xdr:rowOff>
        </xdr:from>
        <xdr:to>
          <xdr:col>10</xdr:col>
          <xdr:colOff>133350</xdr:colOff>
          <xdr:row>2</xdr:row>
          <xdr:rowOff>0</xdr:rowOff>
        </xdr:to>
        <xdr:sp macro="" textlink="">
          <xdr:nvSpPr>
            <xdr:cNvPr id="1034" name="Check Box 10" hidden="1">
              <a:extLst>
                <a:ext uri="{63B3BB69-23CF-44E3-9099-C40C66FF867C}">
                  <a14:compatExt spid="_x0000_s1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228600</xdr:colOff>
          <xdr:row>1</xdr:row>
          <xdr:rowOff>28575</xdr:rowOff>
        </xdr:from>
        <xdr:to>
          <xdr:col>13</xdr:col>
          <xdr:colOff>76200</xdr:colOff>
          <xdr:row>2</xdr:row>
          <xdr:rowOff>19050</xdr:rowOff>
        </xdr:to>
        <xdr:sp macro="" textlink="">
          <xdr:nvSpPr>
            <xdr:cNvPr id="1035" name="Check Box 11"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485775</xdr:colOff>
          <xdr:row>1</xdr:row>
          <xdr:rowOff>9525</xdr:rowOff>
        </xdr:from>
        <xdr:to>
          <xdr:col>15</xdr:col>
          <xdr:colOff>28575</xdr:colOff>
          <xdr:row>2</xdr:row>
          <xdr:rowOff>0</xdr:rowOff>
        </xdr:to>
        <xdr:sp macro="" textlink="">
          <xdr:nvSpPr>
            <xdr:cNvPr id="1036" name="Check Box 12" hidden="1">
              <a:extLst>
                <a:ext uri="{63B3BB69-23CF-44E3-9099-C40C66FF867C}">
                  <a14:compatExt spid="_x0000_s1036"/>
                </a:ext>
              </a:extLst>
            </xdr:cNvPr>
            <xdr:cNvSpPr/>
          </xdr:nvSpPr>
          <xdr:spPr>
            <a:xfrm>
              <a:off x="0" y="0"/>
              <a:ext cx="0" cy="0"/>
            </a:xfrm>
            <a:prstGeom prst="rect">
              <a:avLst/>
            </a:prstGeom>
          </xdr:spPr>
        </xdr:sp>
        <xdr:clientData/>
      </xdr:twoCellAnchor>
    </mc:Choice>
    <mc:Fallback/>
  </mc:AlternateContent>
  <xdr:oneCellAnchor>
    <xdr:from>
      <xdr:col>3</xdr:col>
      <xdr:colOff>0</xdr:colOff>
      <xdr:row>37</xdr:row>
      <xdr:rowOff>0</xdr:rowOff>
    </xdr:from>
    <xdr:ext cx="266700" cy="304800"/>
    <xdr:sp macro="" textlink="">
      <xdr:nvSpPr>
        <xdr:cNvPr id="11" name="AutoShape 1" descr="https://cmsweb.csueastbay.edu/cs/HEBPRD/cache/PT_PIXEL_1.gif"/>
        <xdr:cNvSpPr>
          <a:spLocks noChangeAspect="1" noChangeArrowheads="1"/>
        </xdr:cNvSpPr>
      </xdr:nvSpPr>
      <xdr:spPr bwMode="auto">
        <a:xfrm>
          <a:off x="1323975" y="7972425"/>
          <a:ext cx="2667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3</xdr:col>
      <xdr:colOff>276225</xdr:colOff>
      <xdr:row>37</xdr:row>
      <xdr:rowOff>0</xdr:rowOff>
    </xdr:from>
    <xdr:ext cx="266700" cy="304800"/>
    <xdr:sp macro="" textlink="">
      <xdr:nvSpPr>
        <xdr:cNvPr id="12" name="AutoShape 2" descr="https://cmsweb.csueastbay.edu/cs/HEBPRD/cache/PT_PIXEL_1.gif"/>
        <xdr:cNvSpPr>
          <a:spLocks noChangeAspect="1" noChangeArrowheads="1"/>
        </xdr:cNvSpPr>
      </xdr:nvSpPr>
      <xdr:spPr bwMode="auto">
        <a:xfrm>
          <a:off x="1600200" y="7972425"/>
          <a:ext cx="2667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8</xdr:col>
      <xdr:colOff>0</xdr:colOff>
      <xdr:row>37</xdr:row>
      <xdr:rowOff>0</xdr:rowOff>
    </xdr:from>
    <xdr:ext cx="266700" cy="304800"/>
    <xdr:sp macro="" textlink="">
      <xdr:nvSpPr>
        <xdr:cNvPr id="13" name="AutoShape 1" descr="https://cmsweb.csueastbay.edu/cs/HEBPRD/cache/PT_PIXEL_1.gif"/>
        <xdr:cNvSpPr>
          <a:spLocks noChangeAspect="1" noChangeArrowheads="1"/>
        </xdr:cNvSpPr>
      </xdr:nvSpPr>
      <xdr:spPr bwMode="auto">
        <a:xfrm>
          <a:off x="1323975" y="7972425"/>
          <a:ext cx="2667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8</xdr:col>
      <xdr:colOff>276225</xdr:colOff>
      <xdr:row>37</xdr:row>
      <xdr:rowOff>0</xdr:rowOff>
    </xdr:from>
    <xdr:ext cx="266700" cy="304800"/>
    <xdr:sp macro="" textlink="">
      <xdr:nvSpPr>
        <xdr:cNvPr id="14" name="AutoShape 2" descr="https://cmsweb.csueastbay.edu/cs/HEBPRD/cache/PT_PIXEL_1.gif"/>
        <xdr:cNvSpPr>
          <a:spLocks noChangeAspect="1" noChangeArrowheads="1"/>
        </xdr:cNvSpPr>
      </xdr:nvSpPr>
      <xdr:spPr bwMode="auto">
        <a:xfrm>
          <a:off x="1600200" y="7972425"/>
          <a:ext cx="2667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238125</xdr:colOff>
          <xdr:row>6</xdr:row>
          <xdr:rowOff>19050</xdr:rowOff>
        </xdr:from>
        <xdr:to>
          <xdr:col>16</xdr:col>
          <xdr:colOff>85725</xdr:colOff>
          <xdr:row>16</xdr:row>
          <xdr:rowOff>76200</xdr:rowOff>
        </xdr:to>
        <xdr:sp macro="" textlink="">
          <xdr:nvSpPr>
            <xdr:cNvPr id="2050" name="CommandButton1"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hyperlink" Target="mailto:VVV@"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57"/>
  <sheetViews>
    <sheetView showGridLines="0" showZeros="0" tabSelected="1" zoomScaleNormal="100" workbookViewId="0">
      <selection activeCell="C11" sqref="C11"/>
    </sheetView>
  </sheetViews>
  <sheetFormatPr defaultColWidth="8.85546875" defaultRowHeight="15" x14ac:dyDescent="0.25"/>
  <cols>
    <col min="1" max="1" width="19.85546875" customWidth="1"/>
    <col min="2" max="2" width="12.42578125" customWidth="1"/>
    <col min="3" max="3" width="37.140625" customWidth="1"/>
    <col min="4" max="4" width="18.85546875" customWidth="1"/>
    <col min="5" max="5" width="8" style="1" customWidth="1"/>
    <col min="6" max="6" width="3" style="1" customWidth="1"/>
    <col min="7" max="7" width="5.140625" style="1" customWidth="1"/>
    <col min="8" max="8" width="3.140625" style="1" customWidth="1"/>
    <col min="9" max="9" width="4" style="1" customWidth="1"/>
    <col min="10" max="10" width="3" style="1" customWidth="1"/>
    <col min="11" max="11" width="6.85546875" style="1" customWidth="1"/>
    <col min="12" max="12" width="2.42578125" customWidth="1"/>
    <col min="13" max="13" width="6.28515625" customWidth="1"/>
    <col min="14" max="14" width="2.42578125" customWidth="1"/>
    <col min="15" max="15" width="10.85546875" customWidth="1"/>
  </cols>
  <sheetData>
    <row r="1" spans="1:15" ht="33" customHeight="1" x14ac:dyDescent="0.35">
      <c r="A1" s="10"/>
      <c r="B1" s="11"/>
      <c r="C1" s="65" t="s">
        <v>217</v>
      </c>
      <c r="D1" s="24"/>
      <c r="E1" s="12"/>
      <c r="F1" s="12"/>
      <c r="G1" s="202" t="s">
        <v>11</v>
      </c>
      <c r="H1" s="188"/>
      <c r="I1" s="13"/>
      <c r="J1" s="13"/>
      <c r="K1" s="13"/>
      <c r="L1" s="278">
        <v>2014</v>
      </c>
      <c r="M1" s="278"/>
      <c r="N1" s="22"/>
      <c r="O1" s="23"/>
    </row>
    <row r="2" spans="1:15" ht="18.75" customHeight="1" thickBot="1" x14ac:dyDescent="0.35">
      <c r="A2" s="9"/>
      <c r="B2" s="3"/>
      <c r="C2" s="3" t="s">
        <v>16</v>
      </c>
      <c r="D2" s="25" t="s">
        <v>270</v>
      </c>
      <c r="E2" s="4"/>
      <c r="F2" s="4" t="s">
        <v>7</v>
      </c>
      <c r="G2" s="4"/>
      <c r="H2" s="6"/>
      <c r="I2" s="4" t="s">
        <v>267</v>
      </c>
      <c r="J2" s="4"/>
      <c r="K2" s="4"/>
      <c r="L2" s="3" t="s">
        <v>8</v>
      </c>
      <c r="M2" s="3"/>
      <c r="N2" s="3"/>
      <c r="O2" s="14" t="s">
        <v>9</v>
      </c>
    </row>
    <row r="3" spans="1:15" s="2" customFormat="1" ht="20.25" customHeight="1" thickTop="1" x14ac:dyDescent="0.35">
      <c r="A3" s="280" t="s">
        <v>250</v>
      </c>
      <c r="B3" s="124" t="s">
        <v>53</v>
      </c>
      <c r="C3" s="284"/>
      <c r="D3" s="285"/>
      <c r="E3" s="64" t="s">
        <v>10</v>
      </c>
      <c r="F3" s="49"/>
      <c r="G3" s="286"/>
      <c r="H3" s="286"/>
      <c r="I3" s="286"/>
      <c r="J3" s="286"/>
      <c r="K3" s="286"/>
      <c r="L3" s="286"/>
      <c r="M3" s="286"/>
      <c r="N3" s="286"/>
      <c r="O3" s="287"/>
    </row>
    <row r="4" spans="1:15" ht="18" customHeight="1" thickBot="1" x14ac:dyDescent="0.4">
      <c r="A4" s="281"/>
      <c r="B4" s="123" t="s">
        <v>54</v>
      </c>
      <c r="C4" s="282"/>
      <c r="D4" s="283"/>
      <c r="E4" s="108" t="s">
        <v>5</v>
      </c>
      <c r="F4" s="34"/>
      <c r="G4" s="33"/>
      <c r="H4" s="33"/>
      <c r="I4" s="31"/>
      <c r="J4" s="291" t="s">
        <v>47</v>
      </c>
      <c r="K4" s="292"/>
      <c r="L4" s="292"/>
      <c r="M4" s="292"/>
      <c r="N4" s="292"/>
      <c r="O4" s="293"/>
    </row>
    <row r="5" spans="1:15" s="20" customFormat="1" ht="33.75" customHeight="1" thickTop="1" thickBot="1" x14ac:dyDescent="0.3">
      <c r="A5" s="176" t="s">
        <v>251</v>
      </c>
      <c r="B5" s="185" t="s">
        <v>13</v>
      </c>
      <c r="C5" s="29" t="s">
        <v>6</v>
      </c>
      <c r="D5" s="29" t="s">
        <v>14</v>
      </c>
      <c r="E5" s="29" t="s">
        <v>1</v>
      </c>
      <c r="F5" s="289" t="s">
        <v>0</v>
      </c>
      <c r="G5" s="290"/>
      <c r="H5" s="296" t="s">
        <v>12</v>
      </c>
      <c r="I5" s="297"/>
      <c r="J5" s="297"/>
      <c r="K5" s="297"/>
      <c r="L5" s="297"/>
      <c r="M5" s="298"/>
      <c r="N5" s="294" t="s">
        <v>4</v>
      </c>
      <c r="O5" s="295"/>
    </row>
    <row r="6" spans="1:15" ht="15.75" thickTop="1" x14ac:dyDescent="0.25">
      <c r="A6" s="15" t="s">
        <v>171</v>
      </c>
      <c r="B6" s="94" t="s">
        <v>280</v>
      </c>
      <c r="C6" s="95" t="str">
        <f t="shared" ref="C6:C8" si="0">IF(ISNA(VLOOKUP(B6,Transcript,2,FALSE))=TRUE,"",(VLOOKUP(B6,Transcript,2)))</f>
        <v/>
      </c>
      <c r="D6" s="125"/>
      <c r="E6" s="28" t="str">
        <f t="shared" ref="E6:E8" si="1">IF(ISNA(VLOOKUP(B6,Transcript,4,FALSE))=TRUE,"",(VLOOKUP(B6,Transcript,4)))</f>
        <v/>
      </c>
      <c r="F6" s="44"/>
      <c r="G6" s="126"/>
      <c r="H6" s="301"/>
      <c r="I6" s="301"/>
      <c r="J6" s="301"/>
      <c r="K6" s="301"/>
      <c r="L6" s="301"/>
      <c r="M6" s="301"/>
      <c r="N6" s="218"/>
      <c r="O6" s="220"/>
    </row>
    <row r="7" spans="1:15" x14ac:dyDescent="0.25">
      <c r="A7" s="15" t="s">
        <v>2</v>
      </c>
      <c r="B7" s="96">
        <v>1</v>
      </c>
      <c r="C7" s="95" t="str">
        <f t="shared" si="0"/>
        <v/>
      </c>
      <c r="D7" s="125"/>
      <c r="E7" s="28" t="str">
        <f t="shared" si="1"/>
        <v/>
      </c>
      <c r="F7" s="44"/>
      <c r="G7" s="126"/>
      <c r="H7" s="299"/>
      <c r="I7" s="299"/>
      <c r="J7" s="299"/>
      <c r="K7" s="299"/>
      <c r="L7" s="299"/>
      <c r="M7" s="299"/>
      <c r="N7" s="218"/>
      <c r="O7" s="220"/>
    </row>
    <row r="8" spans="1:15" x14ac:dyDescent="0.25">
      <c r="A8" s="15"/>
      <c r="B8" s="96"/>
      <c r="C8" s="95" t="str">
        <f t="shared" si="0"/>
        <v/>
      </c>
      <c r="D8" s="125"/>
      <c r="E8" s="28" t="str">
        <f t="shared" si="1"/>
        <v/>
      </c>
      <c r="F8" s="44"/>
      <c r="G8" s="126"/>
      <c r="H8" s="300"/>
      <c r="I8" s="300"/>
      <c r="J8" s="300"/>
      <c r="K8" s="300"/>
      <c r="L8" s="300"/>
      <c r="M8" s="300"/>
      <c r="N8" s="218"/>
      <c r="O8" s="220"/>
    </row>
    <row r="9" spans="1:15" ht="15.75" thickBot="1" x14ac:dyDescent="0.3">
      <c r="A9" s="32" t="s">
        <v>3</v>
      </c>
      <c r="B9" s="35" t="s">
        <v>49</v>
      </c>
      <c r="C9" s="98"/>
      <c r="D9" s="98"/>
      <c r="E9" s="36">
        <f>SUM(E6:E8)</f>
        <v>0</v>
      </c>
      <c r="F9" s="46"/>
      <c r="G9" s="106"/>
      <c r="H9" s="271"/>
      <c r="I9" s="272"/>
      <c r="J9" s="272"/>
      <c r="K9" s="272"/>
      <c r="L9" s="272"/>
      <c r="M9" s="273"/>
      <c r="N9" s="271"/>
      <c r="O9" s="288"/>
    </row>
    <row r="10" spans="1:15" ht="16.5" thickTop="1" thickBot="1" x14ac:dyDescent="0.3">
      <c r="A10" s="136" t="s">
        <v>175</v>
      </c>
      <c r="B10" s="137"/>
      <c r="C10" s="138"/>
      <c r="D10" s="138"/>
      <c r="E10" s="139"/>
      <c r="F10" s="139"/>
      <c r="G10" s="138"/>
      <c r="H10" s="140"/>
      <c r="I10" s="140"/>
      <c r="J10" s="140"/>
      <c r="K10" s="140"/>
      <c r="L10" s="140"/>
      <c r="M10" s="140"/>
      <c r="N10" s="140"/>
      <c r="O10" s="141"/>
    </row>
    <row r="11" spans="1:15" x14ac:dyDescent="0.25">
      <c r="A11" s="142" t="s">
        <v>172</v>
      </c>
      <c r="B11" s="143" t="s">
        <v>280</v>
      </c>
      <c r="C11" s="144" t="str">
        <f t="shared" ref="C11:C16" si="2">IF(ISNA(VLOOKUP(B11,Transcript,2,FALSE))=TRUE,"",(VLOOKUP(B11,Transcript,2)))</f>
        <v/>
      </c>
      <c r="D11" s="145"/>
      <c r="E11" s="146" t="str">
        <f t="shared" ref="E11:E16" si="3">IF(ISNA(VLOOKUP(B11,Transcript,4,FALSE))=TRUE,"",(VLOOKUP(B11,Transcript,4)))</f>
        <v/>
      </c>
      <c r="F11" s="85"/>
      <c r="G11" s="147"/>
      <c r="H11" s="227"/>
      <c r="I11" s="213"/>
      <c r="J11" s="213"/>
      <c r="K11" s="213"/>
      <c r="L11" s="213"/>
      <c r="M11" s="228"/>
      <c r="N11" s="227"/>
      <c r="O11" s="214"/>
    </row>
    <row r="12" spans="1:15" x14ac:dyDescent="0.25">
      <c r="A12" s="7" t="s">
        <v>173</v>
      </c>
      <c r="B12" s="94">
        <v>2</v>
      </c>
      <c r="C12" s="95" t="str">
        <f t="shared" si="2"/>
        <v/>
      </c>
      <c r="D12" s="125"/>
      <c r="E12" s="28" t="str">
        <f t="shared" si="3"/>
        <v/>
      </c>
      <c r="F12" s="44"/>
      <c r="G12" s="126"/>
      <c r="H12" s="217"/>
      <c r="I12" s="218"/>
      <c r="J12" s="218"/>
      <c r="K12" s="218"/>
      <c r="L12" s="218"/>
      <c r="M12" s="219"/>
      <c r="N12" s="217"/>
      <c r="O12" s="220"/>
    </row>
    <row r="13" spans="1:15" x14ac:dyDescent="0.25">
      <c r="A13" s="7"/>
      <c r="B13" s="94"/>
      <c r="C13" s="95" t="str">
        <f t="shared" si="2"/>
        <v/>
      </c>
      <c r="D13" s="125"/>
      <c r="E13" s="28" t="str">
        <f t="shared" si="3"/>
        <v/>
      </c>
      <c r="F13" s="44"/>
      <c r="G13" s="126"/>
      <c r="H13" s="217"/>
      <c r="I13" s="218"/>
      <c r="J13" s="218"/>
      <c r="K13" s="218"/>
      <c r="L13" s="218"/>
      <c r="M13" s="219"/>
      <c r="N13" s="217"/>
      <c r="O13" s="220"/>
    </row>
    <row r="14" spans="1:15" x14ac:dyDescent="0.25">
      <c r="A14" s="7"/>
      <c r="B14" s="94"/>
      <c r="C14" s="95" t="str">
        <f t="shared" si="2"/>
        <v/>
      </c>
      <c r="D14" s="125"/>
      <c r="E14" s="28" t="str">
        <f t="shared" si="3"/>
        <v/>
      </c>
      <c r="F14" s="44"/>
      <c r="G14" s="126"/>
      <c r="H14" s="217"/>
      <c r="I14" s="218"/>
      <c r="J14" s="218"/>
      <c r="K14" s="218"/>
      <c r="L14" s="218"/>
      <c r="M14" s="219"/>
      <c r="N14" s="217"/>
      <c r="O14" s="220"/>
    </row>
    <row r="15" spans="1:15" x14ac:dyDescent="0.25">
      <c r="A15" s="7"/>
      <c r="B15" s="94"/>
      <c r="C15" s="95" t="str">
        <f t="shared" si="2"/>
        <v/>
      </c>
      <c r="D15" s="125"/>
      <c r="E15" s="28" t="str">
        <f t="shared" si="3"/>
        <v/>
      </c>
      <c r="F15" s="44"/>
      <c r="G15" s="126"/>
      <c r="H15" s="217"/>
      <c r="I15" s="218"/>
      <c r="J15" s="218"/>
      <c r="K15" s="218"/>
      <c r="L15" s="218"/>
      <c r="M15" s="219"/>
      <c r="N15" s="217"/>
      <c r="O15" s="220"/>
    </row>
    <row r="16" spans="1:15" ht="15.75" thickBot="1" x14ac:dyDescent="0.3">
      <c r="A16" s="16"/>
      <c r="B16" s="99"/>
      <c r="C16" s="97" t="str">
        <f t="shared" si="2"/>
        <v/>
      </c>
      <c r="D16" s="97"/>
      <c r="E16" s="37" t="str">
        <f t="shared" si="3"/>
        <v/>
      </c>
      <c r="F16" s="45"/>
      <c r="G16" s="127"/>
      <c r="H16" s="229"/>
      <c r="I16" s="231"/>
      <c r="J16" s="231"/>
      <c r="K16" s="231"/>
      <c r="L16" s="231"/>
      <c r="M16" s="232"/>
      <c r="N16" s="229"/>
      <c r="O16" s="230"/>
    </row>
    <row r="17" spans="1:17" ht="15.75" thickBot="1" x14ac:dyDescent="0.3">
      <c r="A17" s="133" t="s">
        <v>174</v>
      </c>
      <c r="B17" s="134" t="s">
        <v>49</v>
      </c>
      <c r="C17" s="104"/>
      <c r="D17" s="104">
        <f>SUM(D11:D16)</f>
        <v>0</v>
      </c>
      <c r="E17" s="42">
        <f>SUM(E11:E16)</f>
        <v>0</v>
      </c>
      <c r="F17" s="47"/>
      <c r="G17" s="135"/>
      <c r="H17" s="211"/>
      <c r="I17" s="233"/>
      <c r="J17" s="233"/>
      <c r="K17" s="233"/>
      <c r="L17" s="233"/>
      <c r="M17" s="234"/>
      <c r="N17" s="211"/>
      <c r="O17" s="212"/>
    </row>
    <row r="18" spans="1:17" x14ac:dyDescent="0.25">
      <c r="A18" s="142" t="s">
        <v>176</v>
      </c>
      <c r="B18" s="143" t="s">
        <v>280</v>
      </c>
      <c r="C18" s="144" t="str">
        <f>IF(ISNA(VLOOKUP(B18,Transcript,2,FALSE))=TRUE,"",(VLOOKUP(B18,Transcript,2)))</f>
        <v/>
      </c>
      <c r="D18" s="145"/>
      <c r="E18" s="146" t="str">
        <f>IF(ISNA(VLOOKUP(B18,Transcript,4,FALSE))=TRUE,"",(VLOOKUP(B18,Transcript,4)))</f>
        <v/>
      </c>
      <c r="F18" s="85"/>
      <c r="G18" s="147"/>
      <c r="H18" s="227"/>
      <c r="I18" s="213"/>
      <c r="J18" s="213"/>
      <c r="K18" s="213"/>
      <c r="L18" s="213"/>
      <c r="M18" s="228"/>
      <c r="N18" s="227"/>
      <c r="O18" s="214"/>
    </row>
    <row r="19" spans="1:17" x14ac:dyDescent="0.25">
      <c r="A19" s="7" t="s">
        <v>173</v>
      </c>
      <c r="B19" s="94">
        <v>3</v>
      </c>
      <c r="C19" s="95" t="str">
        <f>IF(ISNA(VLOOKUP(B19,Transcript,2,FALSE))=TRUE,"",(VLOOKUP(B19,Transcript,2)))</f>
        <v/>
      </c>
      <c r="D19" s="125"/>
      <c r="E19" s="28" t="str">
        <f>IF(ISNA(VLOOKUP(B19,Transcript,4,FALSE))=TRUE,"",(VLOOKUP(B19,Transcript,4)))</f>
        <v/>
      </c>
      <c r="F19" s="44"/>
      <c r="G19" s="126"/>
      <c r="H19" s="217"/>
      <c r="I19" s="218"/>
      <c r="J19" s="218"/>
      <c r="K19" s="218"/>
      <c r="L19" s="218"/>
      <c r="M19" s="219"/>
      <c r="N19" s="217"/>
      <c r="O19" s="220"/>
    </row>
    <row r="20" spans="1:17" x14ac:dyDescent="0.25">
      <c r="A20" s="7"/>
      <c r="B20" s="94"/>
      <c r="C20" s="95" t="str">
        <f>IF(ISNA(VLOOKUP(B20,Transcript,2,FALSE))=TRUE,"",(VLOOKUP(B20,Transcript,2)))</f>
        <v/>
      </c>
      <c r="D20" s="125"/>
      <c r="E20" s="28" t="str">
        <f>IF(ISNA(VLOOKUP(B20,Transcript,4,FALSE))=TRUE,"",(VLOOKUP(B20,Transcript,4)))</f>
        <v/>
      </c>
      <c r="F20" s="44"/>
      <c r="G20" s="126"/>
      <c r="H20" s="217"/>
      <c r="I20" s="218"/>
      <c r="J20" s="218"/>
      <c r="K20" s="218"/>
      <c r="L20" s="218"/>
      <c r="M20" s="219"/>
      <c r="N20" s="217"/>
      <c r="O20" s="220"/>
    </row>
    <row r="21" spans="1:17" ht="15.75" thickBot="1" x14ac:dyDescent="0.3">
      <c r="A21" s="16"/>
      <c r="B21" s="99"/>
      <c r="C21" s="97" t="str">
        <f>IF(ISNA(VLOOKUP(B21,Transcript,2,FALSE))=TRUE,"",(VLOOKUP(B21,Transcript,2)))</f>
        <v/>
      </c>
      <c r="D21" s="97"/>
      <c r="E21" s="37" t="str">
        <f>IF(ISNA(VLOOKUP(B21,Transcript,4,FALSE))=TRUE,"",(VLOOKUP(B21,Transcript,4)))</f>
        <v/>
      </c>
      <c r="F21" s="45"/>
      <c r="G21" s="127"/>
      <c r="H21" s="229"/>
      <c r="I21" s="231"/>
      <c r="J21" s="231"/>
      <c r="K21" s="231"/>
      <c r="L21" s="231"/>
      <c r="M21" s="232"/>
      <c r="N21" s="229"/>
      <c r="O21" s="230"/>
    </row>
    <row r="22" spans="1:17" ht="15.75" thickBot="1" x14ac:dyDescent="0.3">
      <c r="A22" s="133" t="s">
        <v>15</v>
      </c>
      <c r="B22" s="134" t="s">
        <v>49</v>
      </c>
      <c r="C22" s="104"/>
      <c r="D22" s="104">
        <f>SUM(D18:D21)</f>
        <v>0</v>
      </c>
      <c r="E22" s="42">
        <f>SUM(E18:E21)</f>
        <v>0</v>
      </c>
      <c r="F22" s="47"/>
      <c r="G22" s="135"/>
      <c r="H22" s="211"/>
      <c r="I22" s="233"/>
      <c r="J22" s="233"/>
      <c r="K22" s="233"/>
      <c r="L22" s="233"/>
      <c r="M22" s="234"/>
      <c r="N22" s="211"/>
      <c r="O22" s="212"/>
    </row>
    <row r="23" spans="1:17" x14ac:dyDescent="0.25">
      <c r="A23" s="142" t="s">
        <v>178</v>
      </c>
      <c r="B23" s="235">
        <f>G3</f>
        <v>0</v>
      </c>
      <c r="C23" s="236"/>
      <c r="D23" s="148"/>
      <c r="E23" s="149"/>
      <c r="F23" s="149"/>
      <c r="G23" s="150"/>
      <c r="H23" s="213"/>
      <c r="I23" s="213"/>
      <c r="J23" s="213"/>
      <c r="K23" s="213"/>
      <c r="L23" s="213"/>
      <c r="M23" s="213"/>
      <c r="N23" s="213"/>
      <c r="O23" s="214"/>
    </row>
    <row r="24" spans="1:17" x14ac:dyDescent="0.25">
      <c r="A24" s="7" t="s">
        <v>173</v>
      </c>
      <c r="B24" s="100" t="s">
        <v>280</v>
      </c>
      <c r="C24" s="128" t="str">
        <f>IF(ISNA(VLOOKUP(B24,Transcript,2,FALSE))=TRUE,"",(VLOOKUP(B24,Transcript,2)))</f>
        <v/>
      </c>
      <c r="D24" s="129"/>
      <c r="E24" s="130" t="str">
        <f>IF(ISNA(VLOOKUP(B24,Transcript,4,FALSE))=TRUE,"",(VLOOKUP(B24,Transcript,4)))</f>
        <v/>
      </c>
      <c r="F24" s="131"/>
      <c r="G24" s="132"/>
      <c r="H24" s="215"/>
      <c r="I24" s="274"/>
      <c r="J24" s="274"/>
      <c r="K24" s="274"/>
      <c r="L24" s="274"/>
      <c r="M24" s="275"/>
      <c r="N24" s="215"/>
      <c r="O24" s="216"/>
    </row>
    <row r="25" spans="1:17" x14ac:dyDescent="0.25">
      <c r="A25" s="7"/>
      <c r="B25" s="100">
        <v>4</v>
      </c>
      <c r="C25" s="95" t="str">
        <f>IF(ISNA(VLOOKUP(B25,Transcript,2,FALSE))=TRUE,"",(VLOOKUP(B25,Transcript,2)))</f>
        <v/>
      </c>
      <c r="D25" s="125"/>
      <c r="E25" s="28" t="str">
        <f>IF(ISNA(VLOOKUP(B25,Transcript,4,FALSE))=TRUE,"",(VLOOKUP(B25,Transcript,4)))</f>
        <v/>
      </c>
      <c r="F25" s="44"/>
      <c r="G25" s="126"/>
      <c r="H25" s="223"/>
      <c r="I25" s="224"/>
      <c r="J25" s="224"/>
      <c r="K25" s="224"/>
      <c r="L25" s="224"/>
      <c r="M25" s="225"/>
      <c r="N25" s="223"/>
      <c r="O25" s="226"/>
    </row>
    <row r="26" spans="1:17" x14ac:dyDescent="0.25">
      <c r="A26" s="7"/>
      <c r="B26" s="100"/>
      <c r="C26" s="95" t="str">
        <f>IF(ISNA(VLOOKUP(B26,Transcript,2,FALSE))=TRUE,"",(VLOOKUP(B26,Transcript,2)))</f>
        <v/>
      </c>
      <c r="D26" s="125"/>
      <c r="E26" s="28" t="str">
        <f>IF(ISNA(VLOOKUP(B26,Transcript,4,FALSE))=TRUE,"",(VLOOKUP(B26,Transcript,4)))</f>
        <v/>
      </c>
      <c r="F26" s="44"/>
      <c r="G26" s="126"/>
      <c r="H26" s="223"/>
      <c r="I26" s="224"/>
      <c r="J26" s="224"/>
      <c r="K26" s="224"/>
      <c r="L26" s="224"/>
      <c r="M26" s="225"/>
      <c r="N26" s="223"/>
      <c r="O26" s="226"/>
    </row>
    <row r="27" spans="1:17" x14ac:dyDescent="0.25">
      <c r="A27" s="17"/>
      <c r="B27" s="101"/>
      <c r="C27" s="95" t="str">
        <f>IF(ISNA(VLOOKUP(B27,Transcript,2,FALSE))=TRUE,"",(VLOOKUP(B27,Transcript,2)))</f>
        <v/>
      </c>
      <c r="D27" s="125"/>
      <c r="E27" s="28" t="str">
        <f>IF(ISNA(VLOOKUP(B27,Transcript,4,FALSE))=TRUE,"",(VLOOKUP(B27,Transcript,4)))</f>
        <v/>
      </c>
      <c r="F27" s="44"/>
      <c r="G27" s="126"/>
      <c r="H27" s="73"/>
      <c r="I27" s="43"/>
      <c r="J27" s="43"/>
      <c r="K27" s="43"/>
      <c r="L27" s="43"/>
      <c r="M27" s="74"/>
      <c r="N27" s="75"/>
      <c r="O27" s="76"/>
    </row>
    <row r="28" spans="1:17" ht="15.75" thickBot="1" x14ac:dyDescent="0.3">
      <c r="A28" s="19"/>
      <c r="B28" s="102"/>
      <c r="C28" s="103" t="str">
        <f>IF(ISNA(VLOOKUP(B28,Transcript,2,FALSE))=TRUE,"",(VLOOKUP(B28,Transcript,2)))</f>
        <v/>
      </c>
      <c r="D28" s="97"/>
      <c r="E28" s="37" t="str">
        <f>IF(ISNA(VLOOKUP(B28,Transcript,4,FALSE))=TRUE,"",(VLOOKUP(B28,Transcript,4)))</f>
        <v/>
      </c>
      <c r="F28" s="45"/>
      <c r="G28" s="127"/>
      <c r="H28" s="221"/>
      <c r="I28" s="276"/>
      <c r="J28" s="276"/>
      <c r="K28" s="276"/>
      <c r="L28" s="276"/>
      <c r="M28" s="277"/>
      <c r="N28" s="221"/>
      <c r="O28" s="222"/>
    </row>
    <row r="29" spans="1:17" ht="15.75" thickBot="1" x14ac:dyDescent="0.3">
      <c r="A29" s="51" t="s">
        <v>177</v>
      </c>
      <c r="B29" s="41" t="s">
        <v>48</v>
      </c>
      <c r="C29" s="104"/>
      <c r="D29" s="104"/>
      <c r="E29" s="42">
        <f>SUM(E24:E28)</f>
        <v>0</v>
      </c>
      <c r="F29" s="47"/>
      <c r="G29" s="112"/>
      <c r="H29" s="211"/>
      <c r="I29" s="233"/>
      <c r="J29" s="233"/>
      <c r="K29" s="233"/>
      <c r="L29" s="233"/>
      <c r="M29" s="234"/>
      <c r="N29" s="211"/>
      <c r="O29" s="212"/>
    </row>
    <row r="30" spans="1:17" x14ac:dyDescent="0.25">
      <c r="A30" s="15" t="s">
        <v>179</v>
      </c>
      <c r="B30" s="105" t="s">
        <v>280</v>
      </c>
      <c r="C30" s="95" t="str">
        <f>IF(ISNA(VLOOKUP(B30,Transcript,2,FALSE))=TRUE,"",(VLOOKUP(B30,Transcript,2)))</f>
        <v/>
      </c>
      <c r="D30" s="125"/>
      <c r="E30" s="28" t="str">
        <f>IF(ISNA(VLOOKUP(B30,Transcript,4,FALSE))=TRUE,"",(VLOOKUP(B30,Transcript,4)))</f>
        <v/>
      </c>
      <c r="F30" s="44"/>
      <c r="G30" s="126"/>
      <c r="H30" s="245"/>
      <c r="I30" s="213"/>
      <c r="J30" s="213"/>
      <c r="K30" s="213"/>
      <c r="L30" s="213"/>
      <c r="M30" s="246"/>
      <c r="N30" s="250"/>
      <c r="O30" s="251"/>
    </row>
    <row r="31" spans="1:17" ht="15.75" thickBot="1" x14ac:dyDescent="0.3">
      <c r="A31" s="7" t="s">
        <v>173</v>
      </c>
      <c r="B31" s="151">
        <v>9</v>
      </c>
      <c r="C31" s="152" t="str">
        <f>IF(ISNA(VLOOKUP(B31,Transcript,2,FALSE))=TRUE,"",(VLOOKUP(B31,Transcript,2)))</f>
        <v/>
      </c>
      <c r="D31" s="153"/>
      <c r="E31" s="154" t="str">
        <f>IF(ISNA(VLOOKUP(B31,Transcript,4,FALSE))=TRUE,"",(VLOOKUP(B31,Transcript,4)))</f>
        <v/>
      </c>
      <c r="F31" s="155"/>
      <c r="G31" s="156"/>
      <c r="H31" s="254"/>
      <c r="I31" s="255"/>
      <c r="J31" s="255"/>
      <c r="K31" s="255"/>
      <c r="L31" s="255"/>
      <c r="M31" s="256"/>
      <c r="N31" s="157"/>
      <c r="O31" s="158"/>
      <c r="Q31" s="30"/>
    </row>
    <row r="32" spans="1:17" ht="13.5" customHeight="1" thickBot="1" x14ac:dyDescent="0.3">
      <c r="A32" s="8" t="s">
        <v>3</v>
      </c>
      <c r="B32" s="159" t="s">
        <v>49</v>
      </c>
      <c r="C32" s="160"/>
      <c r="D32" s="160"/>
      <c r="E32" s="161">
        <f>SUM(E30:E31)</f>
        <v>0</v>
      </c>
      <c r="F32" s="48"/>
      <c r="G32" s="107"/>
      <c r="H32" s="247"/>
      <c r="I32" s="248"/>
      <c r="J32" s="248"/>
      <c r="K32" s="248"/>
      <c r="L32" s="248"/>
      <c r="M32" s="249"/>
      <c r="N32" s="252"/>
      <c r="O32" s="253"/>
    </row>
    <row r="33" spans="1:15" ht="22.5" customHeight="1" thickTop="1" thickBot="1" x14ac:dyDescent="0.3">
      <c r="A33" s="109" t="s">
        <v>50</v>
      </c>
      <c r="B33" s="110" t="s">
        <v>51</v>
      </c>
      <c r="C33" s="77">
        <v>80</v>
      </c>
      <c r="D33" s="186" t="s">
        <v>52</v>
      </c>
      <c r="E33" s="187">
        <f>SUM(E32,E29,E22,E17,E9)</f>
        <v>0</v>
      </c>
      <c r="F33" s="187"/>
      <c r="G33" s="257" t="s">
        <v>257</v>
      </c>
      <c r="H33" s="257"/>
      <c r="I33" s="257"/>
      <c r="J33" s="257"/>
      <c r="K33" s="257"/>
      <c r="L33" s="257"/>
      <c r="M33" s="257"/>
      <c r="N33" s="257"/>
      <c r="O33" s="258"/>
    </row>
    <row r="34" spans="1:15" ht="15.75" thickTop="1" x14ac:dyDescent="0.25">
      <c r="A34" s="189"/>
      <c r="B34" s="18"/>
      <c r="C34" s="18"/>
      <c r="D34" s="18"/>
      <c r="E34" s="21"/>
      <c r="F34" s="21"/>
      <c r="G34" s="21"/>
      <c r="H34" s="21"/>
      <c r="I34" s="21"/>
      <c r="J34" s="21"/>
      <c r="K34" s="21"/>
      <c r="L34" s="18"/>
      <c r="M34" s="18"/>
      <c r="N34" s="18"/>
      <c r="O34" s="190"/>
    </row>
    <row r="35" spans="1:15" ht="18" customHeight="1" x14ac:dyDescent="0.25">
      <c r="A35" s="19"/>
      <c r="B35" s="181" t="s">
        <v>263</v>
      </c>
      <c r="C35" s="53"/>
      <c r="D35" s="182" t="s">
        <v>263</v>
      </c>
      <c r="E35" s="191"/>
      <c r="F35" s="6"/>
      <c r="G35" s="191"/>
      <c r="H35" s="191"/>
      <c r="I35" s="183" t="s">
        <v>263</v>
      </c>
      <c r="J35" s="183"/>
      <c r="K35" s="183"/>
      <c r="L35" s="183"/>
      <c r="M35" s="183"/>
      <c r="N35" s="184"/>
      <c r="O35" s="192"/>
    </row>
    <row r="36" spans="1:15" ht="18" customHeight="1" x14ac:dyDescent="0.25">
      <c r="A36" s="19"/>
      <c r="B36" s="180" t="s">
        <v>260</v>
      </c>
      <c r="C36" s="26"/>
      <c r="D36" s="111" t="s">
        <v>261</v>
      </c>
      <c r="E36" s="6"/>
      <c r="F36" s="6"/>
      <c r="G36" s="191"/>
      <c r="H36" s="111"/>
      <c r="I36" s="111" t="s">
        <v>262</v>
      </c>
      <c r="J36" s="4"/>
      <c r="K36" s="4"/>
      <c r="L36" s="3"/>
      <c r="M36" s="3"/>
      <c r="N36" s="179"/>
      <c r="O36" s="193"/>
    </row>
    <row r="37" spans="1:15" ht="18" customHeight="1" x14ac:dyDescent="0.25">
      <c r="A37" s="9"/>
      <c r="B37" s="6"/>
      <c r="C37" s="26"/>
      <c r="D37" s="6"/>
      <c r="E37" s="6"/>
      <c r="F37" s="6"/>
      <c r="G37" s="4"/>
      <c r="H37" s="4"/>
      <c r="I37" s="279"/>
      <c r="J37" s="279"/>
      <c r="K37" s="279"/>
      <c r="L37" s="279"/>
      <c r="M37" s="279"/>
      <c r="N37" s="27"/>
      <c r="O37" s="194"/>
    </row>
    <row r="38" spans="1:15" ht="18.75" customHeight="1" thickBot="1" x14ac:dyDescent="0.3">
      <c r="A38" s="195"/>
      <c r="B38" s="200" t="s">
        <v>269</v>
      </c>
      <c r="C38" s="196"/>
      <c r="D38" s="200" t="s">
        <v>269</v>
      </c>
      <c r="E38" s="197"/>
      <c r="F38" s="197"/>
      <c r="G38" s="198"/>
      <c r="H38" s="198"/>
      <c r="I38" s="200" t="s">
        <v>269</v>
      </c>
      <c r="J38" s="198"/>
      <c r="K38" s="198"/>
      <c r="L38" s="199"/>
      <c r="M38" s="199"/>
      <c r="N38" s="243"/>
      <c r="O38" s="244"/>
    </row>
    <row r="39" spans="1:15" ht="18.75" customHeight="1" x14ac:dyDescent="0.25">
      <c r="A39" s="122"/>
      <c r="B39" s="55"/>
      <c r="C39" s="5"/>
      <c r="D39" s="3"/>
      <c r="E39" s="6"/>
      <c r="F39" s="6"/>
      <c r="G39" s="4"/>
      <c r="H39" s="4"/>
      <c r="I39" s="177"/>
      <c r="J39" s="4"/>
      <c r="K39" s="4"/>
      <c r="L39" s="3"/>
      <c r="M39" s="3"/>
      <c r="N39" s="3"/>
      <c r="O39" s="3"/>
    </row>
    <row r="40" spans="1:15" x14ac:dyDescent="0.25">
      <c r="A40" s="203" t="s">
        <v>279</v>
      </c>
      <c r="B40" s="94"/>
      <c r="C40" s="95" t="str">
        <f t="shared" ref="C40" si="4">IF(ISNA(VLOOKUP(B40,Transcript,2,FALSE))=TRUE,"",(VLOOKUP(B40,Transcript,2)))</f>
        <v/>
      </c>
      <c r="D40" s="125" t="str">
        <f t="shared" ref="D40" si="5">IF(ISNA(VLOOKUP(B40,Transcript,3,FALSE))=TRUE,"",(VLOOKUP(B40,Transcript,3)))</f>
        <v/>
      </c>
      <c r="E40" s="28" t="str">
        <f t="shared" ref="E40" si="6">IF(ISNA(VLOOKUP(B40,Transcript,4,FALSE))=TRUE,"",(VLOOKUP(B40,Transcript,4)))</f>
        <v/>
      </c>
      <c r="F40" s="44"/>
      <c r="G40" s="126" t="str">
        <f t="shared" ref="G40" si="7">IF(ISNA(VLOOKUP(B40,Transcript,5,FALSE))=TRUE,"",VLOOKUP(B40,Transcript,5))</f>
        <v/>
      </c>
      <c r="H40" s="217"/>
      <c r="I40" s="218"/>
      <c r="J40" s="218"/>
      <c r="K40" s="218"/>
      <c r="L40" s="218"/>
      <c r="M40" s="219"/>
      <c r="N40" s="217"/>
      <c r="O40" s="220"/>
    </row>
    <row r="41" spans="1:15" ht="18.75" customHeight="1" x14ac:dyDescent="0.25">
      <c r="A41" s="237" t="s">
        <v>237</v>
      </c>
      <c r="B41" s="238"/>
      <c r="C41" s="238"/>
      <c r="D41" s="238"/>
      <c r="E41" s="238"/>
      <c r="F41" s="238"/>
      <c r="G41" s="238"/>
      <c r="H41" s="238"/>
      <c r="I41" s="238"/>
      <c r="J41" s="238"/>
      <c r="K41" s="238"/>
      <c r="L41" s="238"/>
      <c r="M41" s="238"/>
      <c r="N41" s="238"/>
      <c r="O41" s="239"/>
    </row>
    <row r="42" spans="1:15" ht="18.75" customHeight="1" x14ac:dyDescent="0.25">
      <c r="A42" s="240"/>
      <c r="B42" s="241"/>
      <c r="C42" s="241"/>
      <c r="D42" s="241"/>
      <c r="E42" s="241"/>
      <c r="F42" s="241"/>
      <c r="G42" s="241"/>
      <c r="H42" s="241"/>
      <c r="I42" s="241"/>
      <c r="J42" s="241"/>
      <c r="K42" s="241"/>
      <c r="L42" s="241"/>
      <c r="M42" s="241"/>
      <c r="N42" s="241"/>
      <c r="O42" s="242"/>
    </row>
    <row r="43" spans="1:15" ht="18.75" customHeight="1" x14ac:dyDescent="0.25">
      <c r="A43" s="113" t="s">
        <v>238</v>
      </c>
      <c r="B43" s="114"/>
      <c r="C43" s="115"/>
      <c r="D43" s="116"/>
      <c r="E43" s="117"/>
      <c r="F43" s="117"/>
      <c r="G43" s="118"/>
      <c r="H43" s="118"/>
      <c r="I43" s="118"/>
      <c r="J43" s="118"/>
      <c r="K43" s="118"/>
      <c r="L43" s="116"/>
      <c r="M43" s="116"/>
      <c r="N43" s="116"/>
      <c r="O43" s="119"/>
    </row>
    <row r="44" spans="1:15" ht="18.75" customHeight="1" x14ac:dyDescent="0.25">
      <c r="A44" s="259" t="s">
        <v>239</v>
      </c>
      <c r="B44" s="260"/>
      <c r="C44" s="260"/>
      <c r="D44" s="260"/>
      <c r="E44" s="260"/>
      <c r="F44" s="260"/>
      <c r="G44" s="260"/>
      <c r="H44" s="260"/>
      <c r="I44" s="260"/>
      <c r="J44" s="260"/>
      <c r="K44" s="260"/>
      <c r="L44" s="260"/>
      <c r="M44" s="260"/>
      <c r="N44" s="260"/>
      <c r="O44" s="261"/>
    </row>
    <row r="45" spans="1:15" ht="18.75" customHeight="1" x14ac:dyDescent="0.25">
      <c r="A45" s="268" t="s">
        <v>247</v>
      </c>
      <c r="B45" s="269"/>
      <c r="C45" s="269"/>
      <c r="D45" s="269"/>
      <c r="E45" s="269"/>
      <c r="F45" s="269"/>
      <c r="G45" s="269"/>
      <c r="H45" s="269"/>
      <c r="I45" s="269"/>
      <c r="J45" s="269"/>
      <c r="K45" s="269"/>
      <c r="L45" s="269"/>
      <c r="M45" s="269"/>
      <c r="N45" s="269"/>
      <c r="O45" s="270"/>
    </row>
    <row r="46" spans="1:15" ht="18.75" customHeight="1" x14ac:dyDescent="0.25">
      <c r="A46" s="268" t="s">
        <v>248</v>
      </c>
      <c r="B46" s="269"/>
      <c r="C46" s="269"/>
      <c r="D46" s="269"/>
      <c r="E46" s="269"/>
      <c r="F46" s="269"/>
      <c r="G46" s="269"/>
      <c r="H46" s="269"/>
      <c r="I46" s="269"/>
      <c r="J46" s="269"/>
      <c r="K46" s="269"/>
      <c r="L46" s="269"/>
      <c r="M46" s="269"/>
      <c r="N46" s="269"/>
      <c r="O46" s="270"/>
    </row>
    <row r="47" spans="1:15" ht="18.75" customHeight="1" thickBot="1" x14ac:dyDescent="0.3">
      <c r="A47" s="164" t="s">
        <v>240</v>
      </c>
      <c r="B47" s="165"/>
      <c r="C47" s="165"/>
      <c r="D47" s="166"/>
      <c r="E47" s="167"/>
      <c r="F47" s="167"/>
      <c r="G47" s="168"/>
      <c r="H47" s="168"/>
      <c r="I47" s="168"/>
      <c r="J47" s="168"/>
      <c r="K47" s="168"/>
      <c r="L47" s="169"/>
      <c r="M47" s="169"/>
      <c r="N47" s="169"/>
      <c r="O47" s="170"/>
    </row>
    <row r="48" spans="1:15" ht="18.75" customHeight="1" x14ac:dyDescent="0.25">
      <c r="A48" s="171" t="s">
        <v>241</v>
      </c>
      <c r="B48" s="172"/>
      <c r="C48" s="173"/>
      <c r="D48" s="11"/>
      <c r="E48" s="174"/>
      <c r="F48" s="174"/>
      <c r="G48" s="13"/>
      <c r="H48" s="13"/>
      <c r="I48" s="13"/>
      <c r="J48" s="13"/>
      <c r="K48" s="13"/>
      <c r="L48" s="11"/>
      <c r="M48" s="11"/>
      <c r="N48" s="11"/>
      <c r="O48" s="175"/>
    </row>
    <row r="49" spans="1:15" ht="18.75" customHeight="1" x14ac:dyDescent="0.25">
      <c r="A49" s="63" t="s">
        <v>242</v>
      </c>
      <c r="B49" s="58"/>
      <c r="C49" s="59"/>
      <c r="D49" s="63" t="s">
        <v>243</v>
      </c>
      <c r="E49" s="60"/>
      <c r="F49" s="60"/>
      <c r="G49" s="61"/>
      <c r="H49" s="61"/>
      <c r="I49" s="61"/>
      <c r="J49" s="61"/>
      <c r="K49" s="61"/>
      <c r="L49" s="62"/>
      <c r="M49" s="62"/>
      <c r="N49" s="62"/>
      <c r="O49" s="66"/>
    </row>
    <row r="50" spans="1:15" ht="18.75" customHeight="1" x14ac:dyDescent="0.25">
      <c r="A50" s="207" t="s">
        <v>245</v>
      </c>
      <c r="B50" s="207"/>
      <c r="C50" s="208"/>
      <c r="D50" s="209" t="s">
        <v>246</v>
      </c>
      <c r="E50" s="210"/>
      <c r="F50" s="210"/>
      <c r="G50" s="210"/>
      <c r="H50" s="210"/>
      <c r="I50" s="210"/>
      <c r="J50" s="210"/>
      <c r="K50" s="210"/>
      <c r="L50" s="210"/>
      <c r="M50" s="210"/>
      <c r="N50" s="210"/>
      <c r="O50" s="208"/>
    </row>
    <row r="51" spans="1:15" ht="15" customHeight="1" x14ac:dyDescent="0.25">
      <c r="A51" s="262" t="s">
        <v>278</v>
      </c>
      <c r="B51" s="263"/>
      <c r="C51" s="263"/>
      <c r="D51" s="263"/>
      <c r="E51" s="263"/>
      <c r="F51" s="263"/>
      <c r="G51" s="263"/>
      <c r="H51" s="263"/>
      <c r="I51" s="263"/>
      <c r="J51" s="263"/>
      <c r="K51" s="263"/>
      <c r="L51" s="263"/>
      <c r="M51" s="263"/>
      <c r="N51" s="263"/>
      <c r="O51" s="264"/>
    </row>
    <row r="52" spans="1:15" x14ac:dyDescent="0.25">
      <c r="A52" s="265"/>
      <c r="B52" s="266"/>
      <c r="C52" s="266"/>
      <c r="D52" s="266"/>
      <c r="E52" s="266"/>
      <c r="F52" s="266"/>
      <c r="G52" s="266"/>
      <c r="H52" s="266"/>
      <c r="I52" s="266"/>
      <c r="J52" s="266"/>
      <c r="K52" s="266"/>
      <c r="L52" s="266"/>
      <c r="M52" s="266"/>
      <c r="N52" s="266"/>
      <c r="O52" s="267"/>
    </row>
    <row r="53" spans="1:15" ht="266.25" customHeight="1" x14ac:dyDescent="0.25">
      <c r="A53" s="265"/>
      <c r="B53" s="266"/>
      <c r="C53" s="266"/>
      <c r="D53" s="266"/>
      <c r="E53" s="266"/>
      <c r="F53" s="266"/>
      <c r="G53" s="266"/>
      <c r="H53" s="266"/>
      <c r="I53" s="266"/>
      <c r="J53" s="266"/>
      <c r="K53" s="266"/>
      <c r="L53" s="266"/>
      <c r="M53" s="266"/>
      <c r="N53" s="266"/>
      <c r="O53" s="267"/>
    </row>
    <row r="54" spans="1:15" x14ac:dyDescent="0.25">
      <c r="A54" s="86" t="s">
        <v>244</v>
      </c>
    </row>
    <row r="55" spans="1:15" ht="69.75" customHeight="1" x14ac:dyDescent="0.25">
      <c r="A55" s="204" t="s">
        <v>249</v>
      </c>
      <c r="B55" s="205"/>
      <c r="C55" s="205"/>
      <c r="D55" s="205"/>
      <c r="E55" s="205"/>
      <c r="F55" s="205"/>
      <c r="G55" s="205"/>
      <c r="H55" s="205"/>
      <c r="I55" s="205"/>
      <c r="J55" s="205"/>
      <c r="K55" s="205"/>
      <c r="L55" s="205"/>
      <c r="M55" s="205"/>
      <c r="N55" s="205"/>
      <c r="O55" s="206"/>
    </row>
    <row r="56" spans="1:15" x14ac:dyDescent="0.25">
      <c r="A56" s="68" t="s">
        <v>268</v>
      </c>
      <c r="B56" s="57"/>
      <c r="C56" s="57"/>
      <c r="D56" s="57"/>
      <c r="E56" s="69"/>
      <c r="F56" s="69"/>
      <c r="G56" s="69"/>
      <c r="H56" s="69"/>
      <c r="I56" s="56"/>
      <c r="J56" s="56"/>
      <c r="K56" s="56"/>
      <c r="L56" s="57"/>
      <c r="M56" s="57"/>
      <c r="N56" s="57"/>
      <c r="O56" s="67"/>
    </row>
    <row r="57" spans="1:15" x14ac:dyDescent="0.25">
      <c r="B57" t="s">
        <v>25</v>
      </c>
    </row>
  </sheetData>
  <mergeCells count="72">
    <mergeCell ref="L1:M1"/>
    <mergeCell ref="I37:M37"/>
    <mergeCell ref="A3:A4"/>
    <mergeCell ref="C4:D4"/>
    <mergeCell ref="C3:D3"/>
    <mergeCell ref="G3:O3"/>
    <mergeCell ref="N9:O9"/>
    <mergeCell ref="F5:G5"/>
    <mergeCell ref="J4:O4"/>
    <mergeCell ref="N11:O11"/>
    <mergeCell ref="N5:O5"/>
    <mergeCell ref="H5:M5"/>
    <mergeCell ref="H7:M7"/>
    <mergeCell ref="H8:M8"/>
    <mergeCell ref="N8:O8"/>
    <mergeCell ref="H6:M6"/>
    <mergeCell ref="N6:O6"/>
    <mergeCell ref="N7:O7"/>
    <mergeCell ref="A44:O44"/>
    <mergeCell ref="A51:O53"/>
    <mergeCell ref="A45:O45"/>
    <mergeCell ref="A46:O46"/>
    <mergeCell ref="H9:M9"/>
    <mergeCell ref="H11:M11"/>
    <mergeCell ref="H12:M12"/>
    <mergeCell ref="H15:M15"/>
    <mergeCell ref="H16:M16"/>
    <mergeCell ref="H23:M23"/>
    <mergeCell ref="H24:M24"/>
    <mergeCell ref="H28:M28"/>
    <mergeCell ref="H29:M29"/>
    <mergeCell ref="H17:M17"/>
    <mergeCell ref="N12:O12"/>
    <mergeCell ref="A41:O42"/>
    <mergeCell ref="N38:O38"/>
    <mergeCell ref="H30:M30"/>
    <mergeCell ref="H32:M32"/>
    <mergeCell ref="H25:M25"/>
    <mergeCell ref="N30:O30"/>
    <mergeCell ref="N32:O32"/>
    <mergeCell ref="H31:M31"/>
    <mergeCell ref="G33:O33"/>
    <mergeCell ref="N13:O13"/>
    <mergeCell ref="H19:M19"/>
    <mergeCell ref="N19:O19"/>
    <mergeCell ref="H13:M13"/>
    <mergeCell ref="H14:M14"/>
    <mergeCell ref="H20:M20"/>
    <mergeCell ref="N20:O20"/>
    <mergeCell ref="H21:M21"/>
    <mergeCell ref="N21:O21"/>
    <mergeCell ref="H22:M22"/>
    <mergeCell ref="N14:O14"/>
    <mergeCell ref="H18:M18"/>
    <mergeCell ref="N18:O18"/>
    <mergeCell ref="N16:O16"/>
    <mergeCell ref="N17:O17"/>
    <mergeCell ref="N15:O15"/>
    <mergeCell ref="A55:O55"/>
    <mergeCell ref="A50:C50"/>
    <mergeCell ref="D50:O50"/>
    <mergeCell ref="N22:O22"/>
    <mergeCell ref="N23:O23"/>
    <mergeCell ref="N24:O24"/>
    <mergeCell ref="H40:M40"/>
    <mergeCell ref="N40:O40"/>
    <mergeCell ref="N28:O28"/>
    <mergeCell ref="N29:O29"/>
    <mergeCell ref="H26:M26"/>
    <mergeCell ref="N26:O26"/>
    <mergeCell ref="N25:O25"/>
    <mergeCell ref="B23:C23"/>
  </mergeCells>
  <phoneticPr fontId="2" type="noConversion"/>
  <dataValidations count="9">
    <dataValidation showInputMessage="1" showErrorMessage="1" sqref="C37:C38"/>
    <dataValidation type="list" allowBlank="1" showInputMessage="1" showErrorMessage="1" sqref="D23">
      <formula1>OptionList</formula1>
    </dataValidation>
    <dataValidation type="list" showInputMessage="1" showErrorMessage="1" sqref="L1">
      <formula1>GradYear</formula1>
    </dataValidation>
    <dataValidation type="list" allowBlank="1" showInputMessage="1" showErrorMessage="1" sqref="D2">
      <formula1>CatalogYear</formula1>
    </dataValidation>
    <dataValidation type="list" showInputMessage="1" showErrorMessage="1" sqref="G3:O3">
      <formula1>Option</formula1>
    </dataValidation>
    <dataValidation type="list" showInputMessage="1" showErrorMessage="1" sqref="C36">
      <formula1>Faculty</formula1>
    </dataValidation>
    <dataValidation type="list" allowBlank="1" showInputMessage="1" showErrorMessage="1" sqref="B37">
      <formula1>SSC</formula1>
    </dataValidation>
    <dataValidation type="list" allowBlank="1" showInputMessage="1" showErrorMessage="1" sqref="D37">
      <formula1>Faculty</formula1>
    </dataValidation>
    <dataValidation type="list" allowBlank="1" showInputMessage="1" showErrorMessage="1" sqref="I37">
      <formula1>Chair</formula1>
    </dataValidation>
  </dataValidations>
  <pageMargins left="0.75" right="0.75" top="0.5" bottom="0.5" header="0.3" footer="0.3"/>
  <pageSetup scale="84" orientation="landscape" r:id="rId1"/>
  <headerFooter alignWithMargins="0"/>
  <rowBreaks count="1" manualBreakCount="1">
    <brk id="38" max="16383" man="1"/>
  </rowBreaks>
  <colBreaks count="1" manualBreakCount="1">
    <brk id="15"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33" r:id="rId4" name="Check Box 9">
              <controlPr defaultSize="0" autoFill="0" autoLine="0" autoPict="0">
                <anchor moveWithCells="1">
                  <from>
                    <xdr:col>6</xdr:col>
                    <xdr:colOff>28575</xdr:colOff>
                    <xdr:row>1</xdr:row>
                    <xdr:rowOff>9525</xdr:rowOff>
                  </from>
                  <to>
                    <xdr:col>6</xdr:col>
                    <xdr:colOff>304800</xdr:colOff>
                    <xdr:row>2</xdr:row>
                    <xdr:rowOff>0</xdr:rowOff>
                  </to>
                </anchor>
              </controlPr>
            </control>
          </mc:Choice>
        </mc:AlternateContent>
        <mc:AlternateContent xmlns:mc="http://schemas.openxmlformats.org/markup-compatibility/2006">
          <mc:Choice Requires="x14">
            <control shapeId="1034" r:id="rId5" name="Check Box 10">
              <controlPr defaultSize="0" autoFill="0" autoLine="0" autoPict="0">
                <anchor moveWithCells="1">
                  <from>
                    <xdr:col>9</xdr:col>
                    <xdr:colOff>57150</xdr:colOff>
                    <xdr:row>1</xdr:row>
                    <xdr:rowOff>9525</xdr:rowOff>
                  </from>
                  <to>
                    <xdr:col>10</xdr:col>
                    <xdr:colOff>133350</xdr:colOff>
                    <xdr:row>2</xdr:row>
                    <xdr:rowOff>0</xdr:rowOff>
                  </to>
                </anchor>
              </controlPr>
            </control>
          </mc:Choice>
        </mc:AlternateContent>
        <mc:AlternateContent xmlns:mc="http://schemas.openxmlformats.org/markup-compatibility/2006">
          <mc:Choice Requires="x14">
            <control shapeId="1035" r:id="rId6" name="Check Box 11">
              <controlPr defaultSize="0" autoFill="0" autoLine="0" autoPict="0">
                <anchor moveWithCells="1">
                  <from>
                    <xdr:col>12</xdr:col>
                    <xdr:colOff>228600</xdr:colOff>
                    <xdr:row>1</xdr:row>
                    <xdr:rowOff>28575</xdr:rowOff>
                  </from>
                  <to>
                    <xdr:col>13</xdr:col>
                    <xdr:colOff>76200</xdr:colOff>
                    <xdr:row>2</xdr:row>
                    <xdr:rowOff>19050</xdr:rowOff>
                  </to>
                </anchor>
              </controlPr>
            </control>
          </mc:Choice>
        </mc:AlternateContent>
        <mc:AlternateContent xmlns:mc="http://schemas.openxmlformats.org/markup-compatibility/2006">
          <mc:Choice Requires="x14">
            <control shapeId="1036" r:id="rId7" name="Check Box 12">
              <controlPr defaultSize="0" autoFill="0" autoLine="0" autoPict="0">
                <anchor moveWithCells="1">
                  <from>
                    <xdr:col>14</xdr:col>
                    <xdr:colOff>485775</xdr:colOff>
                    <xdr:row>1</xdr:row>
                    <xdr:rowOff>9525</xdr:rowOff>
                  </from>
                  <to>
                    <xdr:col>15</xdr:col>
                    <xdr:colOff>28575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31"/>
  <sheetViews>
    <sheetView workbookViewId="0">
      <selection activeCell="I6" sqref="I6"/>
    </sheetView>
  </sheetViews>
  <sheetFormatPr defaultRowHeight="15" x14ac:dyDescent="0.25"/>
  <cols>
    <col min="1" max="1" width="10.140625" customWidth="1"/>
    <col min="2" max="2" width="13.140625" customWidth="1"/>
    <col min="3" max="3" width="10.7109375" customWidth="1"/>
    <col min="4" max="4" width="10.140625" customWidth="1"/>
    <col min="5" max="5" width="12.140625" style="84" customWidth="1"/>
    <col min="6" max="6" width="10.28515625" customWidth="1"/>
    <col min="7" max="7" width="12.28515625" customWidth="1"/>
    <col min="8" max="9" width="10.5703125" customWidth="1"/>
  </cols>
  <sheetData>
    <row r="1" spans="1:17" x14ac:dyDescent="0.25">
      <c r="A1" s="80" t="s">
        <v>203</v>
      </c>
      <c r="B1" s="80" t="s">
        <v>204</v>
      </c>
      <c r="C1" s="80" t="s">
        <v>205</v>
      </c>
      <c r="D1" s="80" t="s">
        <v>206</v>
      </c>
      <c r="E1" s="80" t="s">
        <v>207</v>
      </c>
      <c r="F1" s="80" t="s">
        <v>208</v>
      </c>
      <c r="G1" s="80" t="s">
        <v>209</v>
      </c>
      <c r="H1" s="80" t="s">
        <v>210</v>
      </c>
      <c r="I1" s="80" t="s">
        <v>211</v>
      </c>
      <c r="J1" s="80"/>
      <c r="O1" s="79"/>
      <c r="P1" s="79"/>
      <c r="Q1" s="79"/>
    </row>
    <row r="2" spans="1:17" x14ac:dyDescent="0.25">
      <c r="A2" s="80">
        <v>3</v>
      </c>
      <c r="B2" s="80">
        <v>0</v>
      </c>
      <c r="C2" s="80">
        <v>0</v>
      </c>
      <c r="D2" s="80">
        <v>0</v>
      </c>
      <c r="E2" s="80">
        <v>0</v>
      </c>
      <c r="F2" s="80">
        <v>4</v>
      </c>
      <c r="G2" s="80">
        <v>4</v>
      </c>
      <c r="H2" s="80">
        <v>0</v>
      </c>
      <c r="I2" s="80">
        <v>0</v>
      </c>
      <c r="J2" s="80"/>
      <c r="O2" s="52"/>
      <c r="P2" s="52"/>
      <c r="Q2" s="52"/>
    </row>
    <row r="3" spans="1:17" x14ac:dyDescent="0.25">
      <c r="A3" s="80" t="s">
        <v>101</v>
      </c>
      <c r="B3" s="80" t="s">
        <v>122</v>
      </c>
      <c r="C3" s="80" t="s">
        <v>133</v>
      </c>
      <c r="D3" s="80" t="s">
        <v>180</v>
      </c>
      <c r="E3" s="80" t="s">
        <v>181</v>
      </c>
      <c r="F3" s="80" t="s">
        <v>188</v>
      </c>
      <c r="G3" s="80" t="s">
        <v>192</v>
      </c>
      <c r="H3" s="80" t="s">
        <v>169</v>
      </c>
      <c r="I3" s="80" t="s">
        <v>143</v>
      </c>
      <c r="J3" s="80"/>
      <c r="O3" s="52"/>
      <c r="P3" s="52"/>
      <c r="Q3" s="52"/>
    </row>
    <row r="4" spans="1:17" x14ac:dyDescent="0.25">
      <c r="A4" s="82" t="s">
        <v>255</v>
      </c>
      <c r="B4" s="80" t="s">
        <v>124</v>
      </c>
      <c r="C4" s="80" t="s">
        <v>135</v>
      </c>
      <c r="D4" s="80" t="s">
        <v>258</v>
      </c>
      <c r="E4" s="80" t="s">
        <v>182</v>
      </c>
      <c r="F4" s="80" t="s">
        <v>182</v>
      </c>
      <c r="G4" s="80" t="s">
        <v>73</v>
      </c>
      <c r="H4" s="80" t="s">
        <v>198</v>
      </c>
      <c r="I4" s="80" t="s">
        <v>145</v>
      </c>
      <c r="J4" s="80"/>
      <c r="O4" s="52"/>
      <c r="P4" s="52"/>
      <c r="Q4" s="52"/>
    </row>
    <row r="5" spans="1:17" x14ac:dyDescent="0.25">
      <c r="A5" s="83" t="s">
        <v>254</v>
      </c>
      <c r="B5" s="80" t="s">
        <v>70</v>
      </c>
      <c r="C5" s="80" t="s">
        <v>137</v>
      </c>
      <c r="D5" s="80" t="s">
        <v>181</v>
      </c>
      <c r="E5" s="80" t="s">
        <v>30</v>
      </c>
      <c r="F5" s="80" t="s">
        <v>189</v>
      </c>
      <c r="G5" s="80" t="s">
        <v>193</v>
      </c>
      <c r="H5" s="80" t="s">
        <v>30</v>
      </c>
      <c r="I5" s="80" t="s">
        <v>30</v>
      </c>
      <c r="J5" s="80"/>
      <c r="O5" s="52"/>
      <c r="P5" s="52"/>
      <c r="Q5" s="52"/>
    </row>
    <row r="6" spans="1:17" x14ac:dyDescent="0.25">
      <c r="A6" s="82" t="s">
        <v>252</v>
      </c>
      <c r="B6" s="80" t="s">
        <v>127</v>
      </c>
      <c r="C6" s="80" t="s">
        <v>139</v>
      </c>
      <c r="D6" s="80" t="s">
        <v>182</v>
      </c>
      <c r="E6" s="80">
        <v>3</v>
      </c>
      <c r="F6" s="80" t="s">
        <v>190</v>
      </c>
      <c r="G6" s="80" t="s">
        <v>194</v>
      </c>
      <c r="H6" s="80">
        <v>1</v>
      </c>
      <c r="I6" s="80"/>
      <c r="J6" s="80"/>
      <c r="M6" s="52"/>
      <c r="N6" s="52"/>
      <c r="O6" s="52"/>
      <c r="P6" s="52"/>
      <c r="Q6" s="52"/>
    </row>
    <row r="7" spans="1:17" x14ac:dyDescent="0.25">
      <c r="A7" s="80" t="s">
        <v>77</v>
      </c>
      <c r="B7" s="80" t="s">
        <v>129</v>
      </c>
      <c r="C7" s="80" t="s">
        <v>30</v>
      </c>
      <c r="D7" s="80" t="s">
        <v>30</v>
      </c>
      <c r="E7" s="80" t="s">
        <v>185</v>
      </c>
      <c r="F7" s="80" t="s">
        <v>75</v>
      </c>
      <c r="G7" s="80" t="s">
        <v>195</v>
      </c>
      <c r="H7" s="80" t="s">
        <v>73</v>
      </c>
      <c r="I7" s="80"/>
      <c r="J7" s="80"/>
      <c r="M7" s="52"/>
      <c r="N7" s="52"/>
      <c r="O7" s="52"/>
      <c r="P7" s="52"/>
      <c r="Q7" s="52"/>
    </row>
    <row r="8" spans="1:17" x14ac:dyDescent="0.25">
      <c r="A8" s="81" t="s">
        <v>92</v>
      </c>
      <c r="B8" s="80" t="s">
        <v>131</v>
      </c>
      <c r="C8" s="80"/>
      <c r="D8" s="80">
        <v>1</v>
      </c>
      <c r="E8" s="80" t="s">
        <v>183</v>
      </c>
      <c r="F8" s="80" t="s">
        <v>141</v>
      </c>
      <c r="G8" s="80" t="s">
        <v>75</v>
      </c>
      <c r="H8" s="80" t="s">
        <v>75</v>
      </c>
      <c r="I8" s="80"/>
      <c r="J8" s="80"/>
      <c r="M8" s="52"/>
      <c r="N8" s="54"/>
      <c r="O8" s="52"/>
      <c r="P8" s="52"/>
      <c r="Q8" s="53"/>
    </row>
    <row r="9" spans="1:17" x14ac:dyDescent="0.25">
      <c r="A9" s="80" t="s">
        <v>159</v>
      </c>
      <c r="B9" s="81" t="s">
        <v>30</v>
      </c>
      <c r="C9" s="80"/>
      <c r="D9" s="80" t="s">
        <v>183</v>
      </c>
      <c r="E9" s="80" t="s">
        <v>186</v>
      </c>
      <c r="F9" s="80" t="s">
        <v>30</v>
      </c>
      <c r="G9" s="80" t="s">
        <v>141</v>
      </c>
      <c r="H9" s="80" t="s">
        <v>141</v>
      </c>
      <c r="I9" s="80"/>
      <c r="J9" s="80"/>
      <c r="M9" s="78"/>
      <c r="N9" s="54"/>
      <c r="O9" s="54"/>
      <c r="P9" s="52"/>
      <c r="Q9" s="53"/>
    </row>
    <row r="10" spans="1:17" x14ac:dyDescent="0.25">
      <c r="A10" s="83" t="s">
        <v>253</v>
      </c>
      <c r="B10" s="81"/>
      <c r="C10" s="80"/>
      <c r="D10" s="80" t="s">
        <v>184</v>
      </c>
      <c r="E10" s="80" t="s">
        <v>187</v>
      </c>
      <c r="F10" s="80">
        <v>1</v>
      </c>
      <c r="G10" s="80" t="s">
        <v>30</v>
      </c>
      <c r="H10" s="80" t="s">
        <v>30</v>
      </c>
      <c r="I10" s="80"/>
      <c r="J10" s="80"/>
      <c r="M10" s="52"/>
      <c r="N10" s="54"/>
      <c r="O10" s="54"/>
      <c r="P10" s="52"/>
      <c r="Q10" s="53"/>
    </row>
    <row r="11" spans="1:17" x14ac:dyDescent="0.25">
      <c r="A11" s="82" t="s">
        <v>30</v>
      </c>
      <c r="B11" s="81"/>
      <c r="C11" s="81"/>
      <c r="D11" s="81" t="s">
        <v>30</v>
      </c>
      <c r="E11" s="80" t="s">
        <v>30</v>
      </c>
      <c r="F11" s="80" t="s">
        <v>187</v>
      </c>
      <c r="G11" s="80">
        <v>1</v>
      </c>
      <c r="H11" s="80">
        <v>2</v>
      </c>
      <c r="I11" s="80"/>
      <c r="J11" s="80"/>
      <c r="M11" s="52"/>
      <c r="N11" s="54"/>
      <c r="O11" s="54"/>
      <c r="P11" s="52"/>
      <c r="Q11" s="53"/>
    </row>
    <row r="12" spans="1:17" x14ac:dyDescent="0.25">
      <c r="A12" s="83"/>
      <c r="B12" s="80"/>
      <c r="C12" s="81"/>
      <c r="D12" s="81"/>
      <c r="E12" s="80"/>
      <c r="F12" s="80" t="s">
        <v>191</v>
      </c>
      <c r="G12" s="80" t="s">
        <v>196</v>
      </c>
      <c r="H12" s="80" t="s">
        <v>199</v>
      </c>
      <c r="I12" s="80"/>
      <c r="J12" s="80"/>
      <c r="M12" s="72"/>
      <c r="N12" s="53"/>
      <c r="O12" s="54"/>
      <c r="P12" s="52"/>
      <c r="Q12" s="53"/>
    </row>
    <row r="13" spans="1:17" x14ac:dyDescent="0.25">
      <c r="A13" s="80"/>
      <c r="B13" s="81"/>
      <c r="C13" s="81"/>
      <c r="D13" s="81"/>
      <c r="E13" s="80"/>
      <c r="F13" s="80" t="s">
        <v>30</v>
      </c>
      <c r="G13" s="80" t="s">
        <v>191</v>
      </c>
      <c r="H13" s="80" t="s">
        <v>200</v>
      </c>
      <c r="I13" s="80"/>
      <c r="J13" s="80"/>
      <c r="M13" s="78"/>
      <c r="N13" s="53"/>
      <c r="O13" s="54"/>
      <c r="P13" s="52"/>
      <c r="Q13" s="53"/>
    </row>
    <row r="14" spans="1:17" x14ac:dyDescent="0.25">
      <c r="A14" s="82"/>
      <c r="B14" s="81"/>
      <c r="C14" s="81"/>
      <c r="D14" s="81"/>
      <c r="E14" s="80"/>
      <c r="F14" s="80"/>
      <c r="G14" s="80" t="s">
        <v>167</v>
      </c>
      <c r="H14" s="201" t="s">
        <v>277</v>
      </c>
      <c r="I14" s="80"/>
      <c r="J14" s="80"/>
      <c r="M14" s="52"/>
      <c r="N14" s="53"/>
      <c r="O14" s="54"/>
      <c r="P14" s="52"/>
      <c r="Q14" s="53"/>
    </row>
    <row r="15" spans="1:17" x14ac:dyDescent="0.25">
      <c r="A15" s="82"/>
      <c r="B15" s="82"/>
      <c r="C15" s="81"/>
      <c r="D15" s="82"/>
      <c r="E15" s="80"/>
      <c r="F15" s="80"/>
      <c r="G15" s="80" t="s">
        <v>197</v>
      </c>
      <c r="H15" s="80" t="s">
        <v>196</v>
      </c>
      <c r="I15" s="80"/>
      <c r="J15" s="80"/>
      <c r="M15" s="72"/>
      <c r="N15" s="53"/>
      <c r="O15" s="54"/>
      <c r="P15" s="52"/>
      <c r="Q15" s="53"/>
    </row>
    <row r="16" spans="1:17" x14ac:dyDescent="0.25">
      <c r="A16" s="80"/>
      <c r="B16" s="80"/>
      <c r="C16" s="80"/>
      <c r="D16" s="80"/>
      <c r="E16" s="80"/>
      <c r="F16" s="80"/>
      <c r="G16" s="80" t="s">
        <v>169</v>
      </c>
      <c r="H16" s="80" t="s">
        <v>201</v>
      </c>
      <c r="I16" s="80"/>
      <c r="J16" s="80"/>
      <c r="M16" s="53"/>
      <c r="N16" s="53"/>
      <c r="O16" s="53"/>
      <c r="P16" s="52"/>
      <c r="Q16" s="53"/>
    </row>
    <row r="17" spans="1:17" x14ac:dyDescent="0.25">
      <c r="A17" s="80"/>
      <c r="B17" s="80"/>
      <c r="C17" s="80"/>
      <c r="D17" s="80"/>
      <c r="E17" s="80"/>
      <c r="F17" s="80"/>
      <c r="G17" s="80" t="s">
        <v>198</v>
      </c>
      <c r="H17" s="80" t="s">
        <v>202</v>
      </c>
      <c r="I17" s="80"/>
      <c r="J17" s="80"/>
      <c r="M17" s="53"/>
      <c r="N17" s="53"/>
      <c r="O17" s="53"/>
      <c r="P17" s="52"/>
      <c r="Q17" s="53"/>
    </row>
    <row r="18" spans="1:17" x14ac:dyDescent="0.25">
      <c r="A18" s="80"/>
      <c r="B18" s="80"/>
      <c r="C18" s="80"/>
      <c r="D18" s="80"/>
      <c r="E18" s="80"/>
      <c r="F18" s="80"/>
      <c r="G18" s="80" t="s">
        <v>30</v>
      </c>
      <c r="H18" s="80" t="s">
        <v>187</v>
      </c>
      <c r="I18" s="80"/>
      <c r="J18" s="80"/>
      <c r="M18" s="53"/>
      <c r="N18" s="53"/>
      <c r="O18" s="53"/>
      <c r="P18" s="52"/>
      <c r="Q18" s="53"/>
    </row>
    <row r="19" spans="1:17" x14ac:dyDescent="0.25">
      <c r="A19" s="80"/>
      <c r="B19" s="87"/>
      <c r="C19" s="87"/>
      <c r="D19" s="87"/>
      <c r="E19" s="80"/>
      <c r="F19" s="87"/>
      <c r="G19" s="87"/>
      <c r="H19" s="80" t="s">
        <v>191</v>
      </c>
      <c r="I19" s="87"/>
      <c r="J19" s="87"/>
      <c r="M19" s="53"/>
      <c r="N19" s="53"/>
      <c r="O19" s="53"/>
      <c r="P19" s="52"/>
      <c r="Q19" s="53"/>
    </row>
    <row r="20" spans="1:17" x14ac:dyDescent="0.25">
      <c r="A20" s="87"/>
      <c r="B20" s="87"/>
      <c r="C20" s="87"/>
      <c r="D20" s="87"/>
      <c r="E20" s="80"/>
      <c r="F20" s="87"/>
      <c r="G20" s="87"/>
      <c r="H20" s="87" t="s">
        <v>167</v>
      </c>
      <c r="I20" s="87"/>
      <c r="J20" s="87"/>
      <c r="M20" s="53"/>
      <c r="N20" s="53"/>
      <c r="O20" s="53"/>
      <c r="P20" s="52"/>
      <c r="Q20" s="53"/>
    </row>
    <row r="21" spans="1:17" x14ac:dyDescent="0.25">
      <c r="A21" s="87"/>
      <c r="B21" s="87"/>
      <c r="C21" s="87"/>
      <c r="D21" s="87"/>
      <c r="E21" s="80"/>
      <c r="F21" s="87"/>
      <c r="G21" s="87"/>
      <c r="H21" s="87" t="s">
        <v>197</v>
      </c>
      <c r="I21" s="87"/>
      <c r="J21" s="87"/>
      <c r="M21" s="53"/>
      <c r="N21" s="53"/>
      <c r="O21" s="53"/>
      <c r="P21" s="52"/>
      <c r="Q21" s="53"/>
    </row>
    <row r="22" spans="1:17" x14ac:dyDescent="0.25">
      <c r="A22" s="87"/>
      <c r="B22" s="87"/>
      <c r="C22" s="87"/>
      <c r="D22" s="87"/>
      <c r="E22" s="83"/>
      <c r="F22" s="87"/>
      <c r="G22" s="87"/>
      <c r="H22" s="87" t="s">
        <v>30</v>
      </c>
      <c r="I22" s="87"/>
      <c r="J22" s="87"/>
      <c r="M22" s="53"/>
      <c r="N22" s="53"/>
      <c r="O22" s="53"/>
      <c r="P22" s="52"/>
      <c r="Q22" s="53"/>
    </row>
    <row r="23" spans="1:17" x14ac:dyDescent="0.25">
      <c r="A23" t="s">
        <v>229</v>
      </c>
      <c r="B23" t="s">
        <v>228</v>
      </c>
      <c r="C23" t="s">
        <v>230</v>
      </c>
      <c r="D23" t="s">
        <v>231</v>
      </c>
      <c r="E23" s="84" t="s">
        <v>232</v>
      </c>
      <c r="F23" t="s">
        <v>233</v>
      </c>
      <c r="G23" t="s">
        <v>234</v>
      </c>
      <c r="H23" s="162" t="s">
        <v>235</v>
      </c>
      <c r="I23" s="163" t="s">
        <v>236</v>
      </c>
      <c r="M23" s="53"/>
      <c r="N23" s="53"/>
      <c r="O23" s="53"/>
      <c r="P23" s="52"/>
      <c r="Q23" s="53"/>
    </row>
    <row r="24" spans="1:17" x14ac:dyDescent="0.25">
      <c r="M24" s="53"/>
      <c r="N24" s="53"/>
      <c r="O24" s="53"/>
      <c r="P24" s="52"/>
      <c r="Q24" s="53"/>
    </row>
    <row r="25" spans="1:17" x14ac:dyDescent="0.25">
      <c r="A25" s="86" t="s">
        <v>32</v>
      </c>
      <c r="M25" s="53"/>
      <c r="N25" s="53"/>
      <c r="O25" s="53"/>
      <c r="P25" s="52"/>
      <c r="Q25" s="53"/>
    </row>
    <row r="26" spans="1:17" x14ac:dyDescent="0.25">
      <c r="A26" t="s">
        <v>24</v>
      </c>
      <c r="B26" t="s">
        <v>33</v>
      </c>
      <c r="M26" s="53"/>
      <c r="N26" s="53"/>
      <c r="O26" s="53"/>
      <c r="P26" s="52"/>
      <c r="Q26" s="53"/>
    </row>
    <row r="27" spans="1:17" x14ac:dyDescent="0.25">
      <c r="A27" s="84">
        <v>0</v>
      </c>
      <c r="B27" t="s">
        <v>34</v>
      </c>
      <c r="M27" s="53"/>
      <c r="N27" s="53"/>
      <c r="O27" s="53"/>
      <c r="P27" s="52"/>
      <c r="Q27" s="53"/>
    </row>
    <row r="28" spans="1:17" x14ac:dyDescent="0.25">
      <c r="A28" t="s">
        <v>35</v>
      </c>
      <c r="B28" t="s">
        <v>36</v>
      </c>
      <c r="M28" s="53"/>
      <c r="N28" s="53"/>
      <c r="O28" s="53"/>
      <c r="P28" s="52"/>
      <c r="Q28" s="53"/>
    </row>
    <row r="29" spans="1:17" x14ac:dyDescent="0.25">
      <c r="A29" t="s">
        <v>30</v>
      </c>
      <c r="B29" t="s">
        <v>37</v>
      </c>
      <c r="M29" s="53"/>
      <c r="N29" s="53"/>
      <c r="O29" s="53"/>
      <c r="P29" s="52"/>
      <c r="Q29" s="53"/>
    </row>
    <row r="30" spans="1:17" x14ac:dyDescent="0.25">
      <c r="M30" s="53"/>
      <c r="N30" s="53"/>
      <c r="O30" s="53"/>
      <c r="P30" s="52"/>
      <c r="Q30" s="53"/>
    </row>
    <row r="31" spans="1:17" x14ac:dyDescent="0.25">
      <c r="A31" t="s">
        <v>256</v>
      </c>
      <c r="M31" s="53"/>
      <c r="N31" s="53"/>
      <c r="O31" s="53"/>
      <c r="P31" s="52"/>
      <c r="Q31" s="53"/>
    </row>
  </sheetData>
  <sortState ref="A3:A10">
    <sortCondition ref="A2"/>
  </sortState>
  <hyperlinks>
    <hyperlink ref="B23" r:id="rId1" display="VVV@"/>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366"/>
  <sheetViews>
    <sheetView workbookViewId="0">
      <selection activeCell="B26" sqref="B26"/>
    </sheetView>
  </sheetViews>
  <sheetFormatPr defaultRowHeight="15" x14ac:dyDescent="0.25"/>
  <cols>
    <col min="1" max="1" width="22.85546875" style="2" customWidth="1"/>
    <col min="2" max="2" width="40.28515625" style="2" customWidth="1"/>
    <col min="3" max="3" width="9.28515625" style="2" customWidth="1"/>
    <col min="4" max="4" width="13.42578125" style="2" customWidth="1"/>
    <col min="5" max="5" width="13.42578125" style="178" customWidth="1"/>
    <col min="6" max="6" width="15.85546875" style="2" customWidth="1"/>
    <col min="7" max="7" width="11.28515625" style="2" customWidth="1"/>
    <col min="8" max="8" width="24.42578125" style="2" customWidth="1"/>
    <col min="9" max="9" width="29.28515625" style="2" customWidth="1"/>
    <col min="10" max="16384" width="9.140625" style="2"/>
  </cols>
  <sheetData>
    <row r="1" spans="1:12" x14ac:dyDescent="0.25">
      <c r="A1" s="120" t="s">
        <v>38</v>
      </c>
      <c r="B1" s="120" t="s">
        <v>39</v>
      </c>
      <c r="C1" s="120" t="s">
        <v>40</v>
      </c>
      <c r="D1" s="120" t="s">
        <v>41</v>
      </c>
      <c r="E1" s="120" t="s">
        <v>266</v>
      </c>
      <c r="F1" s="120" t="s">
        <v>264</v>
      </c>
      <c r="G1" s="92"/>
      <c r="H1" s="92"/>
      <c r="I1" s="92"/>
      <c r="J1" s="88"/>
      <c r="K1" s="52"/>
      <c r="L1" s="52"/>
    </row>
    <row r="2" spans="1:12" x14ac:dyDescent="0.25">
      <c r="A2" s="80"/>
      <c r="B2" s="80"/>
      <c r="C2" s="80"/>
      <c r="D2" s="80"/>
      <c r="E2" s="80"/>
      <c r="F2" s="80"/>
      <c r="G2" s="93"/>
      <c r="H2" s="93"/>
      <c r="I2" s="93"/>
      <c r="J2" s="52"/>
      <c r="K2" s="52"/>
      <c r="L2" s="52"/>
    </row>
    <row r="3" spans="1:12" x14ac:dyDescent="0.25">
      <c r="A3" s="2" t="s">
        <v>225</v>
      </c>
      <c r="B3" s="121" t="s">
        <v>212</v>
      </c>
      <c r="C3" s="80">
        <v>2010</v>
      </c>
      <c r="D3" s="80" t="s">
        <v>42</v>
      </c>
      <c r="E3" s="80" t="s">
        <v>224</v>
      </c>
      <c r="F3" s="80" t="s">
        <v>265</v>
      </c>
      <c r="G3" s="93"/>
      <c r="H3" s="93"/>
      <c r="I3" s="93"/>
      <c r="J3" s="52"/>
      <c r="K3" s="52"/>
      <c r="L3" s="52"/>
    </row>
    <row r="4" spans="1:12" x14ac:dyDescent="0.25">
      <c r="A4" s="80" t="s">
        <v>218</v>
      </c>
      <c r="B4" s="121" t="s">
        <v>213</v>
      </c>
      <c r="C4" s="80">
        <v>2011</v>
      </c>
      <c r="D4" s="80" t="s">
        <v>43</v>
      </c>
      <c r="E4" s="80"/>
      <c r="F4" s="80"/>
      <c r="G4" s="93"/>
      <c r="H4" s="93"/>
      <c r="I4" s="93"/>
      <c r="J4" s="52"/>
      <c r="K4" s="52"/>
      <c r="L4" s="52"/>
    </row>
    <row r="5" spans="1:12" x14ac:dyDescent="0.25">
      <c r="A5" s="80" t="s">
        <v>220</v>
      </c>
      <c r="B5" s="80" t="s">
        <v>214</v>
      </c>
      <c r="C5" s="80">
        <v>2012</v>
      </c>
      <c r="D5" s="80" t="s">
        <v>44</v>
      </c>
      <c r="E5" s="80"/>
      <c r="F5" s="80"/>
      <c r="G5" s="93"/>
      <c r="H5" s="93"/>
      <c r="I5" s="93"/>
      <c r="J5" s="52"/>
      <c r="K5" s="52"/>
      <c r="L5" s="52"/>
    </row>
    <row r="6" spans="1:12" x14ac:dyDescent="0.25">
      <c r="A6" s="80" t="s">
        <v>219</v>
      </c>
      <c r="B6" s="80" t="s">
        <v>215</v>
      </c>
      <c r="C6" s="80">
        <v>2013</v>
      </c>
      <c r="D6" s="80" t="s">
        <v>45</v>
      </c>
      <c r="E6" s="80"/>
      <c r="F6" s="80"/>
      <c r="G6" s="93"/>
      <c r="H6" s="93"/>
      <c r="I6" s="93"/>
      <c r="J6" s="52"/>
      <c r="K6" s="52"/>
      <c r="L6" s="52"/>
    </row>
    <row r="7" spans="1:12" x14ac:dyDescent="0.25">
      <c r="A7" s="80" t="s">
        <v>221</v>
      </c>
      <c r="B7" s="80" t="s">
        <v>216</v>
      </c>
      <c r="C7" s="80">
        <v>2014</v>
      </c>
      <c r="D7" s="80" t="s">
        <v>46</v>
      </c>
      <c r="E7" s="80"/>
      <c r="F7" s="80"/>
      <c r="G7" s="93"/>
      <c r="H7" s="93"/>
      <c r="I7" s="93"/>
      <c r="J7" s="52"/>
      <c r="K7" s="52"/>
      <c r="L7" s="52"/>
    </row>
    <row r="8" spans="1:12" x14ac:dyDescent="0.25">
      <c r="A8" s="80" t="s">
        <v>222</v>
      </c>
      <c r="B8" s="80"/>
      <c r="C8" s="80">
        <v>2015</v>
      </c>
      <c r="D8" s="80" t="s">
        <v>271</v>
      </c>
      <c r="E8" s="80"/>
      <c r="F8" s="80"/>
      <c r="G8" s="93"/>
      <c r="H8" s="93"/>
      <c r="I8" s="93"/>
      <c r="J8" s="52"/>
      <c r="K8" s="52"/>
      <c r="L8" s="52"/>
    </row>
    <row r="9" spans="1:12" x14ac:dyDescent="0.25">
      <c r="A9" s="80" t="s">
        <v>223</v>
      </c>
      <c r="B9" s="80"/>
      <c r="C9" s="80">
        <v>2016</v>
      </c>
      <c r="D9" s="80" t="s">
        <v>270</v>
      </c>
      <c r="E9" s="80"/>
      <c r="F9" s="80"/>
      <c r="G9" s="93"/>
      <c r="H9" s="93"/>
      <c r="I9" s="93"/>
      <c r="J9" s="52"/>
      <c r="K9" s="52"/>
      <c r="L9" s="52"/>
    </row>
    <row r="10" spans="1:12" x14ac:dyDescent="0.25">
      <c r="A10" s="80" t="s">
        <v>224</v>
      </c>
      <c r="B10" s="80"/>
      <c r="C10" s="80">
        <v>2017</v>
      </c>
      <c r="D10" s="80" t="s">
        <v>272</v>
      </c>
      <c r="E10" s="80"/>
      <c r="F10" s="80"/>
      <c r="G10" s="93"/>
      <c r="H10" s="93"/>
      <c r="I10" s="93"/>
      <c r="J10" s="52"/>
      <c r="K10" s="52"/>
      <c r="L10" s="52"/>
    </row>
    <row r="11" spans="1:12" x14ac:dyDescent="0.25">
      <c r="A11" s="80" t="s">
        <v>226</v>
      </c>
      <c r="B11" s="80"/>
      <c r="C11" s="80">
        <v>2018</v>
      </c>
      <c r="D11" s="80" t="s">
        <v>273</v>
      </c>
      <c r="E11" s="80"/>
      <c r="F11" s="80"/>
      <c r="G11" s="93"/>
      <c r="H11" s="93"/>
      <c r="I11" s="93"/>
      <c r="J11" s="52"/>
      <c r="K11" s="52"/>
      <c r="L11" s="52"/>
    </row>
    <row r="12" spans="1:12" x14ac:dyDescent="0.25">
      <c r="A12" s="80" t="s">
        <v>227</v>
      </c>
      <c r="B12" s="80"/>
      <c r="C12" s="80">
        <v>2019</v>
      </c>
      <c r="D12" s="80" t="s">
        <v>274</v>
      </c>
      <c r="E12" s="80"/>
      <c r="F12" s="80"/>
      <c r="G12" s="93"/>
      <c r="H12" s="93"/>
      <c r="I12" s="93"/>
      <c r="J12" s="52"/>
      <c r="K12" s="52"/>
      <c r="L12" s="52"/>
    </row>
    <row r="13" spans="1:12" x14ac:dyDescent="0.25">
      <c r="A13" s="80" t="s">
        <v>259</v>
      </c>
      <c r="B13" s="80"/>
      <c r="C13" s="80">
        <v>2020</v>
      </c>
      <c r="D13" s="80" t="s">
        <v>275</v>
      </c>
      <c r="E13" s="80"/>
      <c r="F13" s="80"/>
      <c r="G13" s="93"/>
      <c r="H13" s="93"/>
      <c r="I13" s="93"/>
      <c r="J13" s="52"/>
      <c r="K13" s="52"/>
      <c r="L13" s="52"/>
    </row>
    <row r="14" spans="1:12" x14ac:dyDescent="0.25">
      <c r="A14" s="80"/>
      <c r="B14" s="80"/>
      <c r="C14" s="80"/>
      <c r="D14" s="80" t="s">
        <v>276</v>
      </c>
      <c r="E14" s="80"/>
      <c r="F14" s="80"/>
      <c r="G14" s="93"/>
      <c r="H14" s="93"/>
      <c r="I14" s="93"/>
      <c r="J14" s="52"/>
      <c r="K14" s="52"/>
      <c r="L14" s="52"/>
    </row>
    <row r="15" spans="1:12" x14ac:dyDescent="0.25">
      <c r="A15" s="80"/>
      <c r="B15" s="80"/>
      <c r="C15" s="80"/>
      <c r="D15" s="80"/>
      <c r="E15" s="80"/>
      <c r="F15" s="80"/>
      <c r="G15" s="93"/>
      <c r="H15" s="93"/>
      <c r="I15" s="93"/>
      <c r="J15" s="52"/>
      <c r="K15" s="52"/>
      <c r="L15" s="52"/>
    </row>
    <row r="16" spans="1:12" x14ac:dyDescent="0.25">
      <c r="A16" s="80"/>
      <c r="B16" s="80"/>
      <c r="C16" s="80"/>
      <c r="D16" s="80"/>
      <c r="E16" s="80"/>
      <c r="F16" s="80"/>
      <c r="G16" s="93"/>
      <c r="H16" s="93"/>
      <c r="I16" s="93"/>
      <c r="J16" s="52"/>
      <c r="K16" s="52"/>
      <c r="L16" s="52"/>
    </row>
    <row r="17" spans="1:12" x14ac:dyDescent="0.25">
      <c r="A17" s="80"/>
      <c r="B17" s="80"/>
      <c r="C17" s="80"/>
      <c r="D17" s="80"/>
      <c r="E17" s="80"/>
      <c r="F17" s="80"/>
      <c r="G17" s="93"/>
      <c r="H17" s="93"/>
      <c r="I17" s="93"/>
      <c r="J17" s="52"/>
      <c r="K17" s="52"/>
      <c r="L17" s="52"/>
    </row>
    <row r="18" spans="1:12" x14ac:dyDescent="0.25">
      <c r="A18" s="80"/>
      <c r="B18" s="80"/>
      <c r="C18" s="80"/>
      <c r="D18" s="80"/>
      <c r="E18" s="80"/>
      <c r="F18" s="80"/>
      <c r="G18" s="93"/>
      <c r="H18" s="93"/>
      <c r="I18" s="93"/>
      <c r="J18" s="52"/>
      <c r="K18" s="52"/>
      <c r="L18" s="52"/>
    </row>
    <row r="19" spans="1:12" x14ac:dyDescent="0.25">
      <c r="A19" s="93"/>
      <c r="B19" s="93"/>
      <c r="C19" s="93"/>
      <c r="D19" s="93"/>
      <c r="E19" s="93"/>
      <c r="F19" s="93"/>
      <c r="G19" s="93"/>
      <c r="H19" s="93"/>
      <c r="I19" s="93"/>
      <c r="J19" s="52"/>
      <c r="K19" s="52"/>
      <c r="L19" s="52"/>
    </row>
    <row r="20" spans="1:12" x14ac:dyDescent="0.25">
      <c r="A20" s="93"/>
      <c r="B20" s="93"/>
      <c r="C20" s="93"/>
      <c r="D20" s="93"/>
      <c r="E20" s="93"/>
      <c r="F20" s="93"/>
      <c r="G20" s="93"/>
      <c r="H20" s="93"/>
      <c r="I20" s="93"/>
      <c r="J20" s="52"/>
      <c r="K20" s="52"/>
      <c r="L20" s="52"/>
    </row>
    <row r="21" spans="1:12" x14ac:dyDescent="0.25">
      <c r="A21" s="93"/>
      <c r="B21" s="93"/>
      <c r="C21" s="93"/>
      <c r="D21" s="93"/>
      <c r="E21" s="93"/>
      <c r="F21" s="93"/>
      <c r="G21" s="93"/>
      <c r="H21" s="93"/>
      <c r="I21" s="93"/>
      <c r="J21" s="52"/>
      <c r="K21" s="52"/>
      <c r="L21" s="52"/>
    </row>
    <row r="22" spans="1:12" x14ac:dyDescent="0.25">
      <c r="A22" s="52"/>
      <c r="B22" s="52"/>
      <c r="C22" s="52"/>
      <c r="D22" s="52"/>
      <c r="E22" s="52"/>
      <c r="F22" s="52"/>
      <c r="G22" s="52"/>
      <c r="H22" s="52"/>
      <c r="I22" s="52"/>
      <c r="J22" s="52"/>
      <c r="K22" s="52"/>
      <c r="L22" s="52"/>
    </row>
    <row r="23" spans="1:12" x14ac:dyDescent="0.25">
      <c r="A23" s="52"/>
      <c r="B23" s="52"/>
      <c r="C23" s="52"/>
      <c r="D23" s="52"/>
      <c r="E23" s="52"/>
      <c r="F23" s="52"/>
      <c r="G23" s="52"/>
      <c r="H23" s="52"/>
      <c r="I23" s="52"/>
      <c r="J23" s="52"/>
      <c r="K23" s="52"/>
      <c r="L23" s="52"/>
    </row>
    <row r="24" spans="1:12" x14ac:dyDescent="0.25">
      <c r="A24" s="52"/>
      <c r="B24" s="52"/>
      <c r="C24" s="52"/>
      <c r="D24" s="52"/>
      <c r="E24" s="52"/>
      <c r="F24" s="52"/>
      <c r="G24" s="52"/>
      <c r="H24" s="52"/>
      <c r="I24" s="52"/>
      <c r="J24" s="52"/>
      <c r="K24" s="52"/>
      <c r="L24" s="52"/>
    </row>
    <row r="25" spans="1:12" x14ac:dyDescent="0.25">
      <c r="A25" s="52"/>
      <c r="B25" s="52"/>
      <c r="C25" s="52"/>
      <c r="D25" s="52"/>
      <c r="E25" s="52"/>
      <c r="F25" s="52"/>
      <c r="G25" s="52"/>
      <c r="H25" s="52"/>
      <c r="I25" s="52"/>
      <c r="J25" s="52"/>
      <c r="K25" s="52"/>
      <c r="L25" s="52"/>
    </row>
    <row r="26" spans="1:12" x14ac:dyDescent="0.25">
      <c r="A26" s="52"/>
      <c r="B26" s="52"/>
      <c r="C26" s="52"/>
      <c r="D26" s="52"/>
      <c r="E26" s="52"/>
      <c r="F26" s="52"/>
      <c r="G26" s="52"/>
      <c r="H26" s="52"/>
      <c r="I26" s="52"/>
      <c r="J26" s="52"/>
      <c r="K26" s="52"/>
      <c r="L26" s="52"/>
    </row>
    <row r="27" spans="1:12" x14ac:dyDescent="0.25">
      <c r="A27" s="52"/>
      <c r="B27" s="52"/>
      <c r="C27" s="52"/>
      <c r="D27" s="52"/>
      <c r="E27" s="52"/>
      <c r="F27" s="52"/>
      <c r="G27" s="52"/>
      <c r="H27" s="52"/>
      <c r="I27" s="52"/>
      <c r="J27" s="52"/>
      <c r="K27" s="52"/>
      <c r="L27" s="52"/>
    </row>
    <row r="28" spans="1:12" x14ac:dyDescent="0.25">
      <c r="A28" s="52"/>
      <c r="B28" s="52"/>
      <c r="C28" s="52"/>
      <c r="D28" s="52"/>
      <c r="E28" s="52"/>
      <c r="F28" s="52"/>
      <c r="G28" s="52"/>
      <c r="H28" s="52"/>
      <c r="I28" s="52"/>
      <c r="J28" s="52"/>
      <c r="K28" s="52"/>
      <c r="L28" s="52"/>
    </row>
    <row r="29" spans="1:12" x14ac:dyDescent="0.25">
      <c r="A29" s="52"/>
      <c r="B29" s="52"/>
      <c r="C29" s="52"/>
      <c r="D29" s="52"/>
      <c r="E29" s="52"/>
      <c r="F29" s="52"/>
      <c r="G29" s="52"/>
      <c r="H29" s="52"/>
      <c r="I29" s="52"/>
      <c r="J29" s="52"/>
      <c r="K29" s="52"/>
      <c r="L29" s="52"/>
    </row>
    <row r="30" spans="1:12" x14ac:dyDescent="0.25">
      <c r="A30" s="52"/>
      <c r="B30" s="52"/>
      <c r="C30" s="52"/>
      <c r="D30" s="52"/>
      <c r="E30" s="52"/>
      <c r="F30" s="52"/>
      <c r="G30" s="52"/>
      <c r="H30" s="52"/>
      <c r="I30" s="52"/>
      <c r="J30" s="52"/>
      <c r="K30" s="52"/>
      <c r="L30" s="52"/>
    </row>
    <row r="31" spans="1:12" x14ac:dyDescent="0.25">
      <c r="A31" s="52"/>
      <c r="B31" s="52"/>
      <c r="C31" s="52"/>
      <c r="D31" s="52"/>
      <c r="E31" s="52"/>
      <c r="F31" s="52"/>
      <c r="G31" s="52"/>
      <c r="H31" s="52"/>
      <c r="I31" s="52"/>
      <c r="J31" s="52"/>
      <c r="K31" s="52"/>
      <c r="L31" s="52"/>
    </row>
    <row r="32" spans="1:12" x14ac:dyDescent="0.25">
      <c r="A32" s="52"/>
      <c r="B32" s="52"/>
      <c r="C32" s="52"/>
      <c r="D32" s="52"/>
      <c r="E32" s="52"/>
      <c r="F32" s="52"/>
      <c r="G32" s="52"/>
      <c r="H32" s="52"/>
      <c r="I32" s="52"/>
      <c r="J32" s="52"/>
      <c r="K32" s="52"/>
      <c r="L32" s="52"/>
    </row>
    <row r="33" spans="1:12" x14ac:dyDescent="0.25">
      <c r="A33" s="52"/>
      <c r="B33" s="52"/>
      <c r="C33" s="52"/>
      <c r="D33" s="52"/>
      <c r="E33" s="52"/>
      <c r="F33" s="52"/>
      <c r="G33" s="52"/>
      <c r="H33" s="52"/>
      <c r="I33" s="52"/>
      <c r="J33" s="52"/>
      <c r="K33" s="52"/>
      <c r="L33" s="52"/>
    </row>
    <row r="34" spans="1:12" x14ac:dyDescent="0.25">
      <c r="A34" s="52"/>
      <c r="B34" s="52"/>
      <c r="C34" s="52"/>
      <c r="D34" s="52"/>
      <c r="E34" s="52"/>
      <c r="F34" s="52"/>
      <c r="G34" s="52"/>
      <c r="H34" s="52"/>
      <c r="I34" s="52"/>
      <c r="J34" s="52"/>
      <c r="K34" s="52"/>
      <c r="L34" s="52"/>
    </row>
    <row r="35" spans="1:12" x14ac:dyDescent="0.25">
      <c r="A35" s="52"/>
      <c r="B35" s="52"/>
      <c r="C35" s="52"/>
      <c r="D35" s="52"/>
      <c r="E35" s="52"/>
      <c r="F35" s="52"/>
      <c r="G35" s="52"/>
      <c r="H35" s="52"/>
      <c r="I35" s="52"/>
      <c r="J35" s="52"/>
      <c r="K35" s="52"/>
      <c r="L35" s="52"/>
    </row>
    <row r="36" spans="1:12" x14ac:dyDescent="0.25">
      <c r="A36" s="52"/>
      <c r="B36" s="52"/>
      <c r="C36" s="52"/>
      <c r="D36" s="52"/>
      <c r="E36" s="52"/>
      <c r="F36" s="52"/>
      <c r="G36" s="52"/>
      <c r="H36" s="52"/>
      <c r="I36" s="52"/>
      <c r="J36" s="52"/>
      <c r="K36" s="52"/>
      <c r="L36" s="52"/>
    </row>
    <row r="37" spans="1:12" x14ac:dyDescent="0.25">
      <c r="A37" s="89"/>
      <c r="B37" s="27"/>
      <c r="C37" s="27"/>
      <c r="D37" s="27"/>
      <c r="E37" s="27"/>
      <c r="F37" s="27"/>
      <c r="G37" s="27"/>
      <c r="H37" s="27"/>
      <c r="I37" s="27"/>
      <c r="J37" s="27"/>
      <c r="K37" s="27"/>
      <c r="L37" s="52"/>
    </row>
    <row r="38" spans="1:12" x14ac:dyDescent="0.25">
      <c r="A38" s="27"/>
      <c r="B38" s="27"/>
      <c r="C38" s="27"/>
      <c r="D38" s="27"/>
      <c r="E38" s="27"/>
      <c r="F38" s="27"/>
      <c r="G38" s="27"/>
      <c r="H38" s="27"/>
      <c r="I38" s="27"/>
      <c r="J38" s="27"/>
      <c r="K38" s="27"/>
      <c r="L38" s="52"/>
    </row>
    <row r="39" spans="1:12" x14ac:dyDescent="0.25">
      <c r="A39" s="90"/>
      <c r="B39" s="90"/>
      <c r="C39" s="90"/>
      <c r="D39" s="90"/>
      <c r="E39" s="90"/>
      <c r="F39" s="90"/>
      <c r="G39" s="90"/>
      <c r="H39" s="90"/>
      <c r="I39" s="90"/>
      <c r="J39" s="90"/>
      <c r="K39" s="27"/>
      <c r="L39" s="52"/>
    </row>
    <row r="40" spans="1:12" x14ac:dyDescent="0.25">
      <c r="A40" s="91"/>
      <c r="B40" s="91"/>
      <c r="C40" s="91"/>
      <c r="D40" s="91"/>
      <c r="E40" s="91"/>
      <c r="F40" s="91"/>
      <c r="G40" s="91"/>
      <c r="H40" s="27"/>
      <c r="I40" s="91"/>
      <c r="J40" s="91"/>
      <c r="K40" s="27"/>
      <c r="L40" s="52"/>
    </row>
    <row r="41" spans="1:12" x14ac:dyDescent="0.25">
      <c r="A41" s="91"/>
      <c r="B41" s="91"/>
      <c r="C41" s="91"/>
      <c r="D41" s="91"/>
      <c r="E41" s="91"/>
      <c r="F41" s="91"/>
      <c r="G41" s="91"/>
      <c r="H41" s="27"/>
      <c r="I41" s="91"/>
      <c r="J41" s="91"/>
      <c r="K41" s="27"/>
      <c r="L41" s="52"/>
    </row>
    <row r="42" spans="1:12" x14ac:dyDescent="0.25">
      <c r="A42" s="91"/>
      <c r="B42" s="91"/>
      <c r="C42" s="91"/>
      <c r="D42" s="91"/>
      <c r="E42" s="91"/>
      <c r="F42" s="91"/>
      <c r="G42" s="91"/>
      <c r="H42" s="27"/>
      <c r="I42" s="91"/>
      <c r="J42" s="91"/>
      <c r="K42" s="27"/>
      <c r="L42" s="52"/>
    </row>
    <row r="43" spans="1:12" x14ac:dyDescent="0.25">
      <c r="A43" s="91"/>
      <c r="B43" s="91"/>
      <c r="C43" s="91"/>
      <c r="D43" s="91"/>
      <c r="E43" s="91"/>
      <c r="F43" s="91"/>
      <c r="G43" s="91"/>
      <c r="H43" s="27"/>
      <c r="I43" s="27"/>
      <c r="J43" s="91"/>
      <c r="K43" s="27"/>
      <c r="L43" s="52"/>
    </row>
    <row r="44" spans="1:12" x14ac:dyDescent="0.25">
      <c r="A44" s="91"/>
      <c r="B44" s="91"/>
      <c r="C44" s="91"/>
      <c r="D44" s="91"/>
      <c r="E44" s="91"/>
      <c r="F44" s="91"/>
      <c r="G44" s="91"/>
      <c r="H44" s="27"/>
      <c r="I44" s="27"/>
      <c r="J44" s="91"/>
      <c r="K44" s="27"/>
      <c r="L44" s="52"/>
    </row>
    <row r="45" spans="1:12" x14ac:dyDescent="0.25">
      <c r="A45" s="91"/>
      <c r="B45" s="91"/>
      <c r="C45" s="91"/>
      <c r="D45" s="91"/>
      <c r="E45" s="91"/>
      <c r="F45" s="91"/>
      <c r="G45" s="91"/>
      <c r="H45" s="91"/>
      <c r="I45" s="27"/>
      <c r="J45" s="91"/>
      <c r="K45" s="27"/>
      <c r="L45" s="52"/>
    </row>
    <row r="46" spans="1:12" x14ac:dyDescent="0.25">
      <c r="A46" s="91"/>
      <c r="B46" s="91"/>
      <c r="C46" s="91"/>
      <c r="D46" s="91"/>
      <c r="E46" s="91"/>
      <c r="F46" s="91"/>
      <c r="G46" s="27"/>
      <c r="H46" s="91"/>
      <c r="I46" s="27"/>
      <c r="J46" s="91"/>
      <c r="K46" s="27"/>
      <c r="L46" s="52"/>
    </row>
    <row r="47" spans="1:12" x14ac:dyDescent="0.25">
      <c r="A47" s="91"/>
      <c r="B47" s="91"/>
      <c r="C47" s="91"/>
      <c r="D47" s="91"/>
      <c r="E47" s="91"/>
      <c r="F47" s="91"/>
      <c r="G47" s="91"/>
      <c r="H47" s="27"/>
      <c r="I47" s="27"/>
      <c r="J47" s="91"/>
      <c r="K47" s="27"/>
      <c r="L47" s="52"/>
    </row>
    <row r="48" spans="1:12" x14ac:dyDescent="0.25">
      <c r="A48" s="91"/>
      <c r="B48" s="91"/>
      <c r="C48" s="91"/>
      <c r="D48" s="91"/>
      <c r="E48" s="91"/>
      <c r="F48" s="91"/>
      <c r="G48" s="91"/>
      <c r="H48" s="27"/>
      <c r="I48" s="27"/>
      <c r="J48" s="91"/>
      <c r="K48" s="27"/>
      <c r="L48" s="52"/>
    </row>
    <row r="49" spans="1:12" x14ac:dyDescent="0.25">
      <c r="A49" s="91"/>
      <c r="B49" s="91"/>
      <c r="C49" s="91"/>
      <c r="D49" s="91"/>
      <c r="E49" s="91"/>
      <c r="F49" s="91"/>
      <c r="G49" s="91"/>
      <c r="H49" s="27"/>
      <c r="I49" s="27"/>
      <c r="J49" s="91"/>
      <c r="K49" s="27"/>
      <c r="L49" s="52"/>
    </row>
    <row r="50" spans="1:12" x14ac:dyDescent="0.25">
      <c r="A50" s="91"/>
      <c r="B50" s="91"/>
      <c r="C50" s="91"/>
      <c r="D50" s="91"/>
      <c r="E50" s="91"/>
      <c r="F50" s="91"/>
      <c r="G50" s="91"/>
      <c r="H50" s="27"/>
      <c r="I50" s="27"/>
      <c r="J50" s="91"/>
      <c r="K50" s="27"/>
      <c r="L50" s="52"/>
    </row>
    <row r="51" spans="1:12" x14ac:dyDescent="0.25">
      <c r="A51" s="91"/>
      <c r="B51" s="91"/>
      <c r="C51" s="91"/>
      <c r="D51" s="91"/>
      <c r="E51" s="91"/>
      <c r="F51" s="91"/>
      <c r="G51" s="91"/>
      <c r="H51" s="27"/>
      <c r="I51" s="27"/>
      <c r="J51" s="91"/>
      <c r="K51" s="27"/>
      <c r="L51" s="52"/>
    </row>
    <row r="52" spans="1:12" x14ac:dyDescent="0.25">
      <c r="A52" s="91"/>
      <c r="B52" s="91"/>
      <c r="C52" s="91"/>
      <c r="D52" s="91"/>
      <c r="E52" s="91"/>
      <c r="F52" s="91"/>
      <c r="G52" s="91"/>
      <c r="H52" s="91"/>
      <c r="I52" s="27"/>
      <c r="J52" s="91"/>
      <c r="K52" s="27"/>
      <c r="L52" s="52"/>
    </row>
    <row r="53" spans="1:12" x14ac:dyDescent="0.25">
      <c r="A53" s="91"/>
      <c r="B53" s="91"/>
      <c r="C53" s="91"/>
      <c r="D53" s="91"/>
      <c r="E53" s="91"/>
      <c r="F53" s="91"/>
      <c r="G53" s="91"/>
      <c r="H53" s="91"/>
      <c r="I53" s="27"/>
      <c r="J53" s="91"/>
      <c r="K53" s="27"/>
      <c r="L53" s="52"/>
    </row>
    <row r="54" spans="1:12" x14ac:dyDescent="0.25">
      <c r="A54" s="91"/>
      <c r="B54" s="91"/>
      <c r="C54" s="91"/>
      <c r="D54" s="91"/>
      <c r="E54" s="91"/>
      <c r="F54" s="91"/>
      <c r="G54" s="91"/>
      <c r="H54" s="27"/>
      <c r="I54" s="27"/>
      <c r="J54" s="91"/>
      <c r="K54" s="27"/>
      <c r="L54" s="52"/>
    </row>
    <row r="55" spans="1:12" x14ac:dyDescent="0.25">
      <c r="A55" s="91"/>
      <c r="B55" s="91"/>
      <c r="C55" s="91"/>
      <c r="D55" s="91"/>
      <c r="E55" s="91"/>
      <c r="F55" s="91"/>
      <c r="G55" s="91"/>
      <c r="H55" s="91"/>
      <c r="I55" s="27"/>
      <c r="J55" s="91"/>
      <c r="K55" s="27"/>
      <c r="L55" s="52"/>
    </row>
    <row r="56" spans="1:12" x14ac:dyDescent="0.25">
      <c r="A56" s="91"/>
      <c r="B56" s="91"/>
      <c r="C56" s="91"/>
      <c r="D56" s="91"/>
      <c r="E56" s="91"/>
      <c r="F56" s="91"/>
      <c r="G56" s="91"/>
      <c r="H56" s="91"/>
      <c r="I56" s="27"/>
      <c r="J56" s="91"/>
      <c r="K56" s="27"/>
      <c r="L56" s="52"/>
    </row>
    <row r="57" spans="1:12" x14ac:dyDescent="0.25">
      <c r="A57" s="91"/>
      <c r="B57" s="91"/>
      <c r="C57" s="91"/>
      <c r="D57" s="91"/>
      <c r="E57" s="91"/>
      <c r="F57" s="91"/>
      <c r="G57" s="91"/>
      <c r="H57" s="27"/>
      <c r="I57" s="27"/>
      <c r="J57" s="91"/>
      <c r="K57" s="27"/>
      <c r="L57" s="52"/>
    </row>
    <row r="58" spans="1:12" x14ac:dyDescent="0.25">
      <c r="A58" s="91"/>
      <c r="B58" s="91"/>
      <c r="C58" s="91"/>
      <c r="D58" s="91"/>
      <c r="E58" s="91"/>
      <c r="F58" s="91"/>
      <c r="G58" s="91"/>
      <c r="H58" s="27"/>
      <c r="I58" s="27"/>
      <c r="J58" s="91"/>
      <c r="K58" s="27"/>
      <c r="L58" s="52"/>
    </row>
    <row r="59" spans="1:12" x14ac:dyDescent="0.25">
      <c r="A59" s="91"/>
      <c r="B59" s="91"/>
      <c r="C59" s="91"/>
      <c r="D59" s="91"/>
      <c r="E59" s="91"/>
      <c r="F59" s="91"/>
      <c r="G59" s="91"/>
      <c r="H59" s="27"/>
      <c r="I59" s="27"/>
      <c r="J59" s="91"/>
      <c r="K59" s="27"/>
      <c r="L59" s="52"/>
    </row>
    <row r="60" spans="1:12" x14ac:dyDescent="0.25">
      <c r="A60" s="91"/>
      <c r="B60" s="91"/>
      <c r="C60" s="91"/>
      <c r="D60" s="91"/>
      <c r="E60" s="91"/>
      <c r="F60" s="91"/>
      <c r="G60" s="91"/>
      <c r="H60" s="27"/>
      <c r="I60" s="27"/>
      <c r="J60" s="91"/>
      <c r="K60" s="27"/>
      <c r="L60" s="52"/>
    </row>
    <row r="61" spans="1:12" x14ac:dyDescent="0.25">
      <c r="A61" s="91"/>
      <c r="B61" s="91"/>
      <c r="C61" s="91"/>
      <c r="D61" s="91"/>
      <c r="E61" s="91"/>
      <c r="F61" s="91"/>
      <c r="G61" s="91"/>
      <c r="H61" s="27"/>
      <c r="I61" s="91"/>
      <c r="J61" s="91"/>
      <c r="K61" s="27"/>
      <c r="L61" s="52"/>
    </row>
    <row r="62" spans="1:12" x14ac:dyDescent="0.25">
      <c r="A62" s="91"/>
      <c r="B62" s="91"/>
      <c r="C62" s="91"/>
      <c r="D62" s="91"/>
      <c r="E62" s="91"/>
      <c r="F62" s="91"/>
      <c r="G62" s="91"/>
      <c r="H62" s="27"/>
      <c r="I62" s="91"/>
      <c r="J62" s="91"/>
      <c r="K62" s="27"/>
      <c r="L62" s="52"/>
    </row>
    <row r="63" spans="1:12" x14ac:dyDescent="0.25">
      <c r="A63" s="91"/>
      <c r="B63" s="91"/>
      <c r="C63" s="91"/>
      <c r="D63" s="91"/>
      <c r="E63" s="91"/>
      <c r="F63" s="91"/>
      <c r="G63" s="91"/>
      <c r="H63" s="27"/>
      <c r="I63" s="91"/>
      <c r="J63" s="91"/>
      <c r="K63" s="27"/>
      <c r="L63" s="52"/>
    </row>
    <row r="64" spans="1:12" x14ac:dyDescent="0.25">
      <c r="A64" s="91"/>
      <c r="B64" s="91"/>
      <c r="C64" s="91"/>
      <c r="D64" s="91"/>
      <c r="E64" s="91"/>
      <c r="F64" s="91"/>
      <c r="G64" s="91"/>
      <c r="H64" s="91"/>
      <c r="I64" s="27"/>
      <c r="J64" s="91"/>
      <c r="K64" s="27"/>
      <c r="L64" s="52"/>
    </row>
    <row r="65" spans="1:12" x14ac:dyDescent="0.25">
      <c r="A65" s="91"/>
      <c r="B65" s="91"/>
      <c r="C65" s="91"/>
      <c r="D65" s="91"/>
      <c r="E65" s="91"/>
      <c r="F65" s="91"/>
      <c r="G65" s="27"/>
      <c r="H65" s="91"/>
      <c r="I65" s="27"/>
      <c r="J65" s="91"/>
      <c r="K65" s="27"/>
      <c r="L65" s="52"/>
    </row>
    <row r="66" spans="1:12" x14ac:dyDescent="0.25">
      <c r="A66" s="91"/>
      <c r="B66" s="91"/>
      <c r="C66" s="91"/>
      <c r="D66" s="91"/>
      <c r="E66" s="91"/>
      <c r="F66" s="91"/>
      <c r="G66" s="27"/>
      <c r="H66" s="27"/>
      <c r="I66" s="27"/>
      <c r="J66" s="91"/>
      <c r="K66" s="27"/>
      <c r="L66" s="52"/>
    </row>
    <row r="67" spans="1:12" x14ac:dyDescent="0.25">
      <c r="A67" s="91"/>
      <c r="B67" s="91"/>
      <c r="C67" s="91"/>
      <c r="D67" s="91"/>
      <c r="E67" s="91"/>
      <c r="F67" s="91"/>
      <c r="G67" s="91"/>
      <c r="H67" s="27"/>
      <c r="I67" s="27"/>
      <c r="J67" s="91"/>
      <c r="K67" s="27"/>
      <c r="L67" s="52"/>
    </row>
    <row r="68" spans="1:12" x14ac:dyDescent="0.25">
      <c r="A68" s="91"/>
      <c r="B68" s="91"/>
      <c r="C68" s="91"/>
      <c r="D68" s="91"/>
      <c r="E68" s="91"/>
      <c r="F68" s="91"/>
      <c r="G68" s="91"/>
      <c r="H68" s="27"/>
      <c r="I68" s="27"/>
      <c r="J68" s="91"/>
      <c r="K68" s="27"/>
      <c r="L68" s="52"/>
    </row>
    <row r="69" spans="1:12" x14ac:dyDescent="0.25">
      <c r="A69" s="91"/>
      <c r="B69" s="91"/>
      <c r="C69" s="91"/>
      <c r="D69" s="91"/>
      <c r="E69" s="91"/>
      <c r="F69" s="91"/>
      <c r="G69" s="91"/>
      <c r="H69" s="27"/>
      <c r="I69" s="27"/>
      <c r="J69" s="91"/>
      <c r="K69" s="27"/>
      <c r="L69" s="52"/>
    </row>
    <row r="70" spans="1:12" x14ac:dyDescent="0.25">
      <c r="A70" s="91"/>
      <c r="B70" s="91"/>
      <c r="C70" s="91"/>
      <c r="D70" s="91"/>
      <c r="E70" s="91"/>
      <c r="F70" s="91"/>
      <c r="G70" s="91"/>
      <c r="H70" s="27"/>
      <c r="I70" s="91"/>
      <c r="J70" s="91"/>
      <c r="K70" s="27"/>
      <c r="L70" s="52"/>
    </row>
    <row r="71" spans="1:12" x14ac:dyDescent="0.25">
      <c r="A71" s="91"/>
      <c r="B71" s="91"/>
      <c r="C71" s="91"/>
      <c r="D71" s="91"/>
      <c r="E71" s="91"/>
      <c r="F71" s="91"/>
      <c r="G71" s="91"/>
      <c r="H71" s="27"/>
      <c r="I71" s="91"/>
      <c r="J71" s="91"/>
      <c r="K71" s="27"/>
      <c r="L71" s="52"/>
    </row>
    <row r="72" spans="1:12" x14ac:dyDescent="0.25">
      <c r="A72" s="91"/>
      <c r="B72" s="91"/>
      <c r="C72" s="91"/>
      <c r="D72" s="91"/>
      <c r="E72" s="91"/>
      <c r="F72" s="91"/>
      <c r="G72" s="91"/>
      <c r="H72" s="27"/>
      <c r="I72" s="27"/>
      <c r="J72" s="91"/>
      <c r="K72" s="27"/>
      <c r="L72" s="52"/>
    </row>
    <row r="73" spans="1:12" x14ac:dyDescent="0.25">
      <c r="A73" s="91"/>
      <c r="B73" s="91"/>
      <c r="C73" s="91"/>
      <c r="D73" s="91"/>
      <c r="E73" s="91"/>
      <c r="F73" s="91"/>
      <c r="G73" s="91"/>
      <c r="H73" s="27"/>
      <c r="I73" s="91"/>
      <c r="J73" s="91"/>
      <c r="K73" s="27"/>
      <c r="L73" s="52"/>
    </row>
    <row r="74" spans="1:12" x14ac:dyDescent="0.25">
      <c r="A74" s="91"/>
      <c r="B74" s="91"/>
      <c r="C74" s="91"/>
      <c r="D74" s="91"/>
      <c r="E74" s="91"/>
      <c r="F74" s="91"/>
      <c r="G74" s="91"/>
      <c r="H74" s="27"/>
      <c r="I74" s="91"/>
      <c r="J74" s="91"/>
      <c r="K74" s="27"/>
      <c r="L74" s="52"/>
    </row>
    <row r="75" spans="1:12" x14ac:dyDescent="0.25">
      <c r="A75" s="91"/>
      <c r="B75" s="91"/>
      <c r="C75" s="91"/>
      <c r="D75" s="91"/>
      <c r="E75" s="91"/>
      <c r="F75" s="91"/>
      <c r="G75" s="91"/>
      <c r="H75" s="27"/>
      <c r="I75" s="27"/>
      <c r="J75" s="91"/>
      <c r="K75" s="27"/>
      <c r="L75" s="52"/>
    </row>
    <row r="76" spans="1:12" x14ac:dyDescent="0.25">
      <c r="A76" s="91"/>
      <c r="B76" s="91"/>
      <c r="C76" s="91"/>
      <c r="D76" s="91"/>
      <c r="E76" s="91"/>
      <c r="F76" s="91"/>
      <c r="G76" s="91"/>
      <c r="H76" s="27"/>
      <c r="I76" s="91"/>
      <c r="J76" s="91"/>
      <c r="K76" s="27"/>
      <c r="L76" s="52"/>
    </row>
    <row r="77" spans="1:12" x14ac:dyDescent="0.25">
      <c r="A77" s="91"/>
      <c r="B77" s="91"/>
      <c r="C77" s="91"/>
      <c r="D77" s="91"/>
      <c r="E77" s="91"/>
      <c r="F77" s="91"/>
      <c r="G77" s="91"/>
      <c r="H77" s="27"/>
      <c r="I77" s="91"/>
      <c r="J77" s="91"/>
      <c r="K77" s="27"/>
      <c r="L77" s="52"/>
    </row>
    <row r="78" spans="1:12" x14ac:dyDescent="0.25">
      <c r="A78" s="91"/>
      <c r="B78" s="91"/>
      <c r="C78" s="91"/>
      <c r="D78" s="91"/>
      <c r="E78" s="91"/>
      <c r="F78" s="91"/>
      <c r="G78" s="27"/>
      <c r="H78" s="27"/>
      <c r="I78" s="91"/>
      <c r="J78" s="91"/>
      <c r="K78" s="27"/>
      <c r="L78" s="52"/>
    </row>
    <row r="79" spans="1:12" x14ac:dyDescent="0.25">
      <c r="A79" s="91"/>
      <c r="B79" s="91"/>
      <c r="C79" s="91"/>
      <c r="D79" s="91"/>
      <c r="E79" s="91"/>
      <c r="F79" s="91"/>
      <c r="G79" s="91"/>
      <c r="H79" s="27"/>
      <c r="I79" s="91"/>
      <c r="J79" s="91"/>
      <c r="K79" s="27"/>
      <c r="L79" s="52"/>
    </row>
    <row r="80" spans="1:12" x14ac:dyDescent="0.25">
      <c r="A80" s="91"/>
      <c r="B80" s="91"/>
      <c r="C80" s="91"/>
      <c r="D80" s="91"/>
      <c r="E80" s="91"/>
      <c r="F80" s="91"/>
      <c r="G80" s="91"/>
      <c r="H80" s="27"/>
      <c r="I80" s="91"/>
      <c r="J80" s="91"/>
      <c r="K80" s="27"/>
      <c r="L80" s="52"/>
    </row>
    <row r="81" spans="1:12" x14ac:dyDescent="0.25">
      <c r="A81" s="91"/>
      <c r="B81" s="91"/>
      <c r="C81" s="91"/>
      <c r="D81" s="91"/>
      <c r="E81" s="91"/>
      <c r="F81" s="91"/>
      <c r="G81" s="91"/>
      <c r="H81" s="91"/>
      <c r="I81" s="91"/>
      <c r="J81" s="91"/>
      <c r="K81" s="27"/>
      <c r="L81" s="52"/>
    </row>
    <row r="82" spans="1:12" x14ac:dyDescent="0.25">
      <c r="A82" s="91"/>
      <c r="B82" s="91"/>
      <c r="C82" s="91"/>
      <c r="D82" s="91"/>
      <c r="E82" s="91"/>
      <c r="F82" s="91"/>
      <c r="G82" s="27"/>
      <c r="H82" s="27"/>
      <c r="I82" s="91"/>
      <c r="J82" s="91"/>
      <c r="K82" s="27"/>
      <c r="L82" s="52"/>
    </row>
    <row r="83" spans="1:12" x14ac:dyDescent="0.25">
      <c r="A83" s="91"/>
      <c r="B83" s="91"/>
      <c r="C83" s="91"/>
      <c r="D83" s="91"/>
      <c r="E83" s="91"/>
      <c r="F83" s="91"/>
      <c r="G83" s="91"/>
      <c r="H83" s="27"/>
      <c r="I83" s="91"/>
      <c r="J83" s="91"/>
      <c r="K83" s="27"/>
      <c r="L83" s="52"/>
    </row>
    <row r="84" spans="1:12" x14ac:dyDescent="0.25">
      <c r="A84" s="91"/>
      <c r="B84" s="91"/>
      <c r="C84" s="91"/>
      <c r="D84" s="91"/>
      <c r="E84" s="91"/>
      <c r="F84" s="91"/>
      <c r="G84" s="91"/>
      <c r="H84" s="27"/>
      <c r="I84" s="27"/>
      <c r="J84" s="91"/>
      <c r="K84" s="27"/>
      <c r="L84" s="52"/>
    </row>
    <row r="85" spans="1:12" x14ac:dyDescent="0.25">
      <c r="A85" s="91"/>
      <c r="B85" s="91"/>
      <c r="C85" s="91"/>
      <c r="D85" s="91"/>
      <c r="E85" s="91"/>
      <c r="F85" s="91"/>
      <c r="G85" s="91"/>
      <c r="H85" s="27"/>
      <c r="I85" s="27"/>
      <c r="J85" s="91"/>
      <c r="K85" s="27"/>
      <c r="L85" s="52"/>
    </row>
    <row r="86" spans="1:12" x14ac:dyDescent="0.25">
      <c r="A86" s="91"/>
      <c r="B86" s="91"/>
      <c r="C86" s="91"/>
      <c r="D86" s="91"/>
      <c r="E86" s="91"/>
      <c r="F86" s="91"/>
      <c r="G86" s="91"/>
      <c r="H86" s="27"/>
      <c r="I86" s="27"/>
      <c r="J86" s="91"/>
      <c r="K86" s="27"/>
      <c r="L86" s="52"/>
    </row>
    <row r="87" spans="1:12" x14ac:dyDescent="0.25">
      <c r="A87" s="91"/>
      <c r="B87" s="91"/>
      <c r="C87" s="91"/>
      <c r="D87" s="91"/>
      <c r="E87" s="91"/>
      <c r="F87" s="91"/>
      <c r="G87" s="91"/>
      <c r="H87" s="27"/>
      <c r="I87" s="27"/>
      <c r="J87" s="91"/>
      <c r="K87" s="27"/>
      <c r="L87" s="52"/>
    </row>
    <row r="88" spans="1:12" x14ac:dyDescent="0.25">
      <c r="A88" s="91"/>
      <c r="B88" s="91"/>
      <c r="C88" s="91"/>
      <c r="D88" s="91"/>
      <c r="E88" s="91"/>
      <c r="F88" s="91"/>
      <c r="G88" s="91"/>
      <c r="H88" s="91"/>
      <c r="I88" s="27"/>
      <c r="J88" s="91"/>
      <c r="K88" s="27"/>
      <c r="L88" s="52"/>
    </row>
    <row r="89" spans="1:12" x14ac:dyDescent="0.25">
      <c r="A89" s="91"/>
      <c r="B89" s="91"/>
      <c r="C89" s="91"/>
      <c r="D89" s="91"/>
      <c r="E89" s="91"/>
      <c r="F89" s="91"/>
      <c r="G89" s="91"/>
      <c r="H89" s="91"/>
      <c r="I89" s="27"/>
      <c r="J89" s="91"/>
      <c r="K89" s="27"/>
      <c r="L89" s="52"/>
    </row>
    <row r="90" spans="1:12" x14ac:dyDescent="0.25">
      <c r="A90" s="91"/>
      <c r="B90" s="91"/>
      <c r="C90" s="91"/>
      <c r="D90" s="91"/>
      <c r="E90" s="91"/>
      <c r="F90" s="91"/>
      <c r="G90" s="91"/>
      <c r="H90" s="91"/>
      <c r="I90" s="27"/>
      <c r="J90" s="91"/>
      <c r="K90" s="27"/>
      <c r="L90" s="52"/>
    </row>
    <row r="91" spans="1:12" x14ac:dyDescent="0.25">
      <c r="A91" s="91"/>
      <c r="B91" s="91"/>
      <c r="C91" s="91"/>
      <c r="D91" s="91"/>
      <c r="E91" s="91"/>
      <c r="F91" s="91"/>
      <c r="G91" s="27"/>
      <c r="H91" s="27"/>
      <c r="I91" s="91"/>
      <c r="J91" s="91"/>
      <c r="K91" s="27"/>
      <c r="L91" s="52"/>
    </row>
    <row r="92" spans="1:12" x14ac:dyDescent="0.25">
      <c r="A92" s="91"/>
      <c r="B92" s="91"/>
      <c r="C92" s="91"/>
      <c r="D92" s="91"/>
      <c r="E92" s="91"/>
      <c r="F92" s="91"/>
      <c r="G92" s="91"/>
      <c r="H92" s="27"/>
      <c r="I92" s="91"/>
      <c r="J92" s="91"/>
      <c r="K92" s="27"/>
      <c r="L92" s="52"/>
    </row>
    <row r="93" spans="1:12" x14ac:dyDescent="0.25">
      <c r="A93" s="91"/>
      <c r="B93" s="91"/>
      <c r="C93" s="91"/>
      <c r="D93" s="91"/>
      <c r="E93" s="91"/>
      <c r="F93" s="91"/>
      <c r="G93" s="91"/>
      <c r="H93" s="27"/>
      <c r="I93" s="91"/>
      <c r="J93" s="91"/>
      <c r="K93" s="27"/>
      <c r="L93" s="52"/>
    </row>
    <row r="94" spans="1:12" x14ac:dyDescent="0.25">
      <c r="A94" s="91"/>
      <c r="B94" s="91"/>
      <c r="C94" s="91"/>
      <c r="D94" s="91"/>
      <c r="E94" s="91"/>
      <c r="F94" s="91"/>
      <c r="G94" s="91"/>
      <c r="H94" s="27"/>
      <c r="I94" s="91"/>
      <c r="J94" s="91"/>
      <c r="K94" s="27"/>
      <c r="L94" s="52"/>
    </row>
    <row r="95" spans="1:12" x14ac:dyDescent="0.25">
      <c r="A95" s="91"/>
      <c r="B95" s="91"/>
      <c r="C95" s="91"/>
      <c r="D95" s="91"/>
      <c r="E95" s="91"/>
      <c r="F95" s="91"/>
      <c r="G95" s="91"/>
      <c r="H95" s="27"/>
      <c r="I95" s="91"/>
      <c r="J95" s="91"/>
      <c r="K95" s="27"/>
      <c r="L95" s="52"/>
    </row>
    <row r="96" spans="1:12" x14ac:dyDescent="0.25">
      <c r="A96" s="91"/>
      <c r="B96" s="91"/>
      <c r="C96" s="91"/>
      <c r="D96" s="91"/>
      <c r="E96" s="91"/>
      <c r="F96" s="91"/>
      <c r="G96" s="91"/>
      <c r="H96" s="27"/>
      <c r="I96" s="91"/>
      <c r="J96" s="91"/>
      <c r="K96" s="27"/>
      <c r="L96" s="52"/>
    </row>
    <row r="97" spans="1:12" x14ac:dyDescent="0.25">
      <c r="A97" s="91"/>
      <c r="B97" s="91"/>
      <c r="C97" s="91"/>
      <c r="D97" s="91"/>
      <c r="E97" s="91"/>
      <c r="F97" s="91"/>
      <c r="G97" s="91"/>
      <c r="H97" s="27"/>
      <c r="I97" s="27"/>
      <c r="J97" s="91"/>
      <c r="K97" s="27"/>
      <c r="L97" s="52"/>
    </row>
    <row r="98" spans="1:12" x14ac:dyDescent="0.25">
      <c r="A98" s="91"/>
      <c r="B98" s="91"/>
      <c r="C98" s="91"/>
      <c r="D98" s="91"/>
      <c r="E98" s="91"/>
      <c r="F98" s="91"/>
      <c r="G98" s="27"/>
      <c r="H98" s="27"/>
      <c r="I98" s="27"/>
      <c r="J98" s="91"/>
      <c r="K98" s="27"/>
      <c r="L98" s="52"/>
    </row>
    <row r="99" spans="1:12" x14ac:dyDescent="0.25">
      <c r="A99" s="91"/>
      <c r="B99" s="91"/>
      <c r="C99" s="91"/>
      <c r="D99" s="91"/>
      <c r="E99" s="91"/>
      <c r="F99" s="91"/>
      <c r="G99" s="27"/>
      <c r="H99" s="27"/>
      <c r="I99" s="27"/>
      <c r="J99" s="91"/>
      <c r="K99" s="27"/>
      <c r="L99" s="52"/>
    </row>
    <row r="100" spans="1:12" x14ac:dyDescent="0.25">
      <c r="A100" s="91"/>
      <c r="B100" s="91"/>
      <c r="C100" s="91"/>
      <c r="D100" s="91"/>
      <c r="E100" s="91"/>
      <c r="F100" s="91"/>
      <c r="G100" s="91"/>
      <c r="H100" s="27"/>
      <c r="I100" s="91"/>
      <c r="J100" s="91"/>
      <c r="K100" s="27"/>
      <c r="L100" s="52"/>
    </row>
    <row r="101" spans="1:12" x14ac:dyDescent="0.25">
      <c r="A101" s="91"/>
      <c r="B101" s="91"/>
      <c r="C101" s="91"/>
      <c r="D101" s="91"/>
      <c r="E101" s="91"/>
      <c r="F101" s="91"/>
      <c r="G101" s="91"/>
      <c r="H101" s="27"/>
      <c r="I101" s="91"/>
      <c r="J101" s="91"/>
      <c r="K101" s="27"/>
      <c r="L101" s="52"/>
    </row>
    <row r="102" spans="1:12" x14ac:dyDescent="0.25">
      <c r="A102" s="91"/>
      <c r="B102" s="91"/>
      <c r="C102" s="91"/>
      <c r="D102" s="91"/>
      <c r="E102" s="91"/>
      <c r="F102" s="91"/>
      <c r="G102" s="91"/>
      <c r="H102" s="27"/>
      <c r="I102" s="27"/>
      <c r="J102" s="91"/>
      <c r="K102" s="27"/>
      <c r="L102" s="52"/>
    </row>
    <row r="103" spans="1:12" x14ac:dyDescent="0.25">
      <c r="A103" s="91"/>
      <c r="B103" s="91"/>
      <c r="C103" s="91"/>
      <c r="D103" s="91"/>
      <c r="E103" s="91"/>
      <c r="F103" s="91"/>
      <c r="G103" s="27"/>
      <c r="H103" s="27"/>
      <c r="I103" s="91"/>
      <c r="J103" s="91"/>
      <c r="K103" s="27"/>
      <c r="L103" s="52"/>
    </row>
    <row r="104" spans="1:12" x14ac:dyDescent="0.25">
      <c r="A104" s="91"/>
      <c r="B104" s="91"/>
      <c r="C104" s="91"/>
      <c r="D104" s="91"/>
      <c r="E104" s="91"/>
      <c r="F104" s="91"/>
      <c r="G104" s="91"/>
      <c r="H104" s="27"/>
      <c r="I104" s="91"/>
      <c r="J104" s="91"/>
      <c r="K104" s="27"/>
      <c r="L104" s="52"/>
    </row>
    <row r="105" spans="1:12" x14ac:dyDescent="0.25">
      <c r="A105" s="91"/>
      <c r="B105" s="91"/>
      <c r="C105" s="91"/>
      <c r="D105" s="91"/>
      <c r="E105" s="91"/>
      <c r="F105" s="91"/>
      <c r="G105" s="91"/>
      <c r="H105" s="27"/>
      <c r="I105" s="91"/>
      <c r="J105" s="91"/>
      <c r="K105" s="27"/>
      <c r="L105" s="52"/>
    </row>
    <row r="106" spans="1:12" x14ac:dyDescent="0.25">
      <c r="A106" s="91"/>
      <c r="B106" s="91"/>
      <c r="C106" s="91"/>
      <c r="D106" s="91"/>
      <c r="E106" s="91"/>
      <c r="F106" s="91"/>
      <c r="G106" s="91"/>
      <c r="H106" s="27"/>
      <c r="I106" s="91"/>
      <c r="J106" s="91"/>
      <c r="K106" s="27"/>
      <c r="L106" s="52"/>
    </row>
    <row r="107" spans="1:12" x14ac:dyDescent="0.25">
      <c r="A107" s="91"/>
      <c r="B107" s="91"/>
      <c r="C107" s="91"/>
      <c r="D107" s="91"/>
      <c r="E107" s="91"/>
      <c r="F107" s="91"/>
      <c r="G107" s="91"/>
      <c r="H107" s="27"/>
      <c r="I107" s="91"/>
      <c r="J107" s="91"/>
      <c r="K107" s="27"/>
      <c r="L107" s="52"/>
    </row>
    <row r="108" spans="1:12" x14ac:dyDescent="0.25">
      <c r="A108" s="27"/>
      <c r="B108" s="27"/>
      <c r="C108" s="27"/>
      <c r="D108" s="27"/>
      <c r="E108" s="27"/>
      <c r="F108" s="27"/>
      <c r="G108" s="27"/>
      <c r="H108" s="27"/>
      <c r="I108" s="27"/>
      <c r="J108" s="27"/>
      <c r="K108" s="27"/>
      <c r="L108" s="52"/>
    </row>
    <row r="109" spans="1:12" x14ac:dyDescent="0.25">
      <c r="A109" s="27"/>
      <c r="B109" s="27"/>
      <c r="C109" s="27"/>
      <c r="D109" s="27"/>
      <c r="E109" s="27"/>
      <c r="F109" s="27"/>
      <c r="G109" s="27"/>
      <c r="H109" s="27"/>
      <c r="I109" s="27"/>
      <c r="J109" s="27"/>
      <c r="K109" s="27"/>
      <c r="L109" s="52"/>
    </row>
    <row r="110" spans="1:12" x14ac:dyDescent="0.25">
      <c r="A110" s="27"/>
      <c r="B110" s="27"/>
      <c r="C110" s="27"/>
      <c r="D110" s="27"/>
      <c r="E110" s="27"/>
      <c r="F110" s="27"/>
      <c r="G110" s="27"/>
      <c r="H110" s="27"/>
      <c r="I110" s="27"/>
      <c r="J110" s="27"/>
      <c r="K110" s="27"/>
      <c r="L110" s="52"/>
    </row>
    <row r="111" spans="1:12" x14ac:dyDescent="0.25">
      <c r="A111" s="27"/>
      <c r="B111" s="27"/>
      <c r="C111" s="27"/>
      <c r="D111" s="27"/>
      <c r="E111" s="27"/>
      <c r="F111" s="27"/>
      <c r="G111" s="27"/>
      <c r="H111" s="27"/>
      <c r="I111" s="27"/>
      <c r="J111" s="27"/>
      <c r="K111" s="27"/>
      <c r="L111" s="52"/>
    </row>
    <row r="112" spans="1:12" x14ac:dyDescent="0.25">
      <c r="A112" s="27"/>
      <c r="B112" s="27"/>
      <c r="C112" s="27"/>
      <c r="D112" s="27"/>
      <c r="E112" s="27"/>
      <c r="F112" s="27"/>
      <c r="G112" s="27"/>
      <c r="H112" s="27"/>
      <c r="I112" s="27"/>
      <c r="J112" s="27"/>
      <c r="K112" s="27"/>
      <c r="L112" s="52"/>
    </row>
    <row r="113" spans="1:12" x14ac:dyDescent="0.25">
      <c r="A113" s="27"/>
      <c r="B113" s="27"/>
      <c r="C113" s="27"/>
      <c r="D113" s="27"/>
      <c r="E113" s="27"/>
      <c r="F113" s="27"/>
      <c r="G113" s="27"/>
      <c r="H113" s="27"/>
      <c r="I113" s="27"/>
      <c r="J113" s="27"/>
      <c r="K113" s="27"/>
      <c r="L113" s="52"/>
    </row>
    <row r="114" spans="1:12" x14ac:dyDescent="0.25">
      <c r="A114" s="27"/>
      <c r="B114" s="27"/>
      <c r="C114" s="27"/>
      <c r="D114" s="27"/>
      <c r="E114" s="27"/>
      <c r="F114" s="27"/>
      <c r="G114" s="27"/>
      <c r="H114" s="27"/>
      <c r="I114" s="27"/>
      <c r="J114" s="27"/>
      <c r="K114" s="27"/>
      <c r="L114" s="52"/>
    </row>
    <row r="115" spans="1:12" x14ac:dyDescent="0.25">
      <c r="A115" s="27"/>
      <c r="B115" s="27"/>
      <c r="C115" s="27"/>
      <c r="D115" s="27"/>
      <c r="E115" s="27"/>
      <c r="F115" s="27"/>
      <c r="G115" s="27"/>
      <c r="H115" s="27"/>
      <c r="I115" s="27"/>
      <c r="J115" s="27"/>
      <c r="K115" s="27"/>
      <c r="L115" s="52"/>
    </row>
    <row r="116" spans="1:12" x14ac:dyDescent="0.25">
      <c r="A116" s="27"/>
      <c r="B116" s="27"/>
      <c r="C116" s="27"/>
      <c r="D116" s="27"/>
      <c r="E116" s="27"/>
      <c r="F116" s="27"/>
      <c r="G116" s="27"/>
      <c r="H116" s="27"/>
      <c r="I116" s="27"/>
      <c r="J116" s="27"/>
      <c r="K116" s="27"/>
      <c r="L116" s="52"/>
    </row>
    <row r="117" spans="1:12" x14ac:dyDescent="0.25">
      <c r="A117" s="27"/>
      <c r="B117" s="27"/>
      <c r="C117" s="27"/>
      <c r="D117" s="27"/>
      <c r="E117" s="27"/>
      <c r="F117" s="27"/>
      <c r="G117" s="27"/>
      <c r="H117" s="27"/>
      <c r="I117" s="27"/>
      <c r="J117" s="27"/>
      <c r="K117" s="27"/>
      <c r="L117" s="52"/>
    </row>
    <row r="118" spans="1:12" x14ac:dyDescent="0.25">
      <c r="A118" s="27"/>
      <c r="B118" s="27"/>
      <c r="C118" s="27"/>
      <c r="D118" s="27"/>
      <c r="E118" s="27"/>
      <c r="F118" s="27"/>
      <c r="G118" s="27"/>
      <c r="H118" s="27"/>
      <c r="I118" s="27"/>
      <c r="J118" s="27"/>
      <c r="K118" s="27"/>
      <c r="L118" s="52"/>
    </row>
    <row r="119" spans="1:12" x14ac:dyDescent="0.25">
      <c r="A119" s="27"/>
      <c r="B119" s="27"/>
      <c r="C119" s="27"/>
      <c r="D119" s="27"/>
      <c r="E119" s="27"/>
      <c r="F119" s="27"/>
      <c r="G119" s="27"/>
      <c r="H119" s="27"/>
      <c r="I119" s="27"/>
      <c r="J119" s="27"/>
      <c r="K119" s="27"/>
      <c r="L119" s="52"/>
    </row>
    <row r="120" spans="1:12" x14ac:dyDescent="0.25">
      <c r="A120" s="27"/>
      <c r="B120" s="27"/>
      <c r="C120" s="27"/>
      <c r="D120" s="27"/>
      <c r="E120" s="27"/>
      <c r="F120" s="27"/>
      <c r="G120" s="27"/>
      <c r="H120" s="27"/>
      <c r="I120" s="27"/>
      <c r="J120" s="27"/>
      <c r="K120" s="27"/>
      <c r="L120" s="52"/>
    </row>
    <row r="121" spans="1:12" x14ac:dyDescent="0.25">
      <c r="A121" s="27"/>
      <c r="B121" s="27"/>
      <c r="C121" s="27"/>
      <c r="D121" s="27"/>
      <c r="E121" s="27"/>
      <c r="F121" s="27"/>
      <c r="G121" s="27"/>
      <c r="H121" s="27"/>
      <c r="I121" s="27"/>
      <c r="J121" s="27"/>
      <c r="K121" s="27"/>
      <c r="L121" s="52"/>
    </row>
    <row r="122" spans="1:12" x14ac:dyDescent="0.25">
      <c r="A122" s="27"/>
      <c r="B122" s="27"/>
      <c r="C122" s="27"/>
      <c r="D122" s="27"/>
      <c r="E122" s="27"/>
      <c r="F122" s="27"/>
      <c r="G122" s="27"/>
      <c r="H122" s="27"/>
      <c r="I122" s="27"/>
      <c r="J122" s="27"/>
      <c r="K122" s="27"/>
      <c r="L122" s="52"/>
    </row>
    <row r="123" spans="1:12" x14ac:dyDescent="0.25">
      <c r="A123" s="27"/>
      <c r="B123" s="27"/>
      <c r="C123" s="27"/>
      <c r="D123" s="27"/>
      <c r="E123" s="27"/>
      <c r="F123" s="27"/>
      <c r="G123" s="27"/>
      <c r="H123" s="27"/>
      <c r="I123" s="27"/>
      <c r="J123" s="27"/>
      <c r="K123" s="27"/>
      <c r="L123" s="52"/>
    </row>
    <row r="124" spans="1:12" x14ac:dyDescent="0.25">
      <c r="A124" s="27"/>
      <c r="B124" s="27"/>
      <c r="C124" s="27"/>
      <c r="D124" s="27"/>
      <c r="E124" s="27"/>
      <c r="F124" s="27"/>
      <c r="G124" s="27"/>
      <c r="H124" s="27"/>
      <c r="I124" s="27"/>
      <c r="J124" s="27"/>
      <c r="K124" s="27"/>
      <c r="L124" s="52"/>
    </row>
    <row r="125" spans="1:12" x14ac:dyDescent="0.25">
      <c r="A125" s="27"/>
      <c r="B125" s="27"/>
      <c r="C125" s="27"/>
      <c r="D125" s="27"/>
      <c r="E125" s="27"/>
      <c r="F125" s="27"/>
      <c r="G125" s="27"/>
      <c r="H125" s="27"/>
      <c r="I125" s="27"/>
      <c r="J125" s="27"/>
      <c r="K125" s="27"/>
      <c r="L125" s="52"/>
    </row>
    <row r="126" spans="1:12" x14ac:dyDescent="0.25">
      <c r="A126" s="27"/>
      <c r="B126" s="27"/>
      <c r="C126" s="27"/>
      <c r="D126" s="27"/>
      <c r="E126" s="27"/>
      <c r="F126" s="27"/>
      <c r="G126" s="27"/>
      <c r="H126" s="27"/>
      <c r="I126" s="27"/>
      <c r="J126" s="27"/>
      <c r="K126" s="27"/>
      <c r="L126" s="52"/>
    </row>
    <row r="127" spans="1:12" x14ac:dyDescent="0.25">
      <c r="A127" s="27"/>
      <c r="B127" s="27"/>
      <c r="C127" s="27"/>
      <c r="D127" s="27"/>
      <c r="E127" s="27"/>
      <c r="F127" s="27"/>
      <c r="G127" s="27"/>
      <c r="H127" s="27"/>
      <c r="I127" s="27"/>
      <c r="J127" s="27"/>
      <c r="K127" s="27"/>
      <c r="L127" s="52"/>
    </row>
    <row r="128" spans="1:12" x14ac:dyDescent="0.25">
      <c r="A128" s="27"/>
      <c r="B128" s="27"/>
      <c r="C128" s="27"/>
      <c r="D128" s="27"/>
      <c r="E128" s="27"/>
      <c r="F128" s="27"/>
      <c r="G128" s="27"/>
      <c r="H128" s="27"/>
      <c r="I128" s="27"/>
      <c r="J128" s="27"/>
      <c r="K128" s="27"/>
      <c r="L128" s="52"/>
    </row>
    <row r="129" spans="1:12" x14ac:dyDescent="0.25">
      <c r="A129" s="27"/>
      <c r="B129" s="27"/>
      <c r="C129" s="27"/>
      <c r="D129" s="27"/>
      <c r="E129" s="27"/>
      <c r="F129" s="27"/>
      <c r="G129" s="27"/>
      <c r="H129" s="27"/>
      <c r="I129" s="27"/>
      <c r="J129" s="27"/>
      <c r="K129" s="27"/>
      <c r="L129" s="52"/>
    </row>
    <row r="130" spans="1:12" x14ac:dyDescent="0.25">
      <c r="A130" s="27"/>
      <c r="B130" s="27"/>
      <c r="C130" s="27"/>
      <c r="D130" s="27"/>
      <c r="E130" s="27"/>
      <c r="F130" s="27"/>
      <c r="G130" s="27"/>
      <c r="H130" s="27"/>
      <c r="I130" s="27"/>
      <c r="J130" s="27"/>
      <c r="K130" s="27"/>
      <c r="L130" s="52"/>
    </row>
    <row r="131" spans="1:12" x14ac:dyDescent="0.25">
      <c r="A131" s="27"/>
      <c r="B131" s="27"/>
      <c r="C131" s="27"/>
      <c r="D131" s="27"/>
      <c r="E131" s="27"/>
      <c r="F131" s="27"/>
      <c r="G131" s="27"/>
      <c r="H131" s="27"/>
      <c r="I131" s="27"/>
      <c r="J131" s="27"/>
      <c r="K131" s="27"/>
      <c r="L131" s="52"/>
    </row>
    <row r="132" spans="1:12" x14ac:dyDescent="0.25">
      <c r="A132" s="27"/>
      <c r="B132" s="27"/>
      <c r="C132" s="27"/>
      <c r="D132" s="27"/>
      <c r="E132" s="27"/>
      <c r="F132" s="27"/>
      <c r="G132" s="27"/>
      <c r="H132" s="27"/>
      <c r="I132" s="27"/>
      <c r="J132" s="27"/>
      <c r="K132" s="27"/>
      <c r="L132" s="52"/>
    </row>
    <row r="133" spans="1:12" x14ac:dyDescent="0.25">
      <c r="A133" s="27"/>
      <c r="B133" s="27"/>
      <c r="C133" s="27"/>
      <c r="D133" s="27"/>
      <c r="E133" s="27"/>
      <c r="F133" s="27"/>
      <c r="G133" s="27"/>
      <c r="H133" s="27"/>
      <c r="I133" s="27"/>
      <c r="J133" s="27"/>
      <c r="K133" s="27"/>
      <c r="L133" s="52"/>
    </row>
    <row r="134" spans="1:12" x14ac:dyDescent="0.25">
      <c r="A134" s="27"/>
      <c r="B134" s="27"/>
      <c r="C134" s="27"/>
      <c r="D134" s="27"/>
      <c r="E134" s="27"/>
      <c r="F134" s="27"/>
      <c r="G134" s="27"/>
      <c r="H134" s="27"/>
      <c r="I134" s="27"/>
      <c r="J134" s="27"/>
      <c r="K134" s="27"/>
      <c r="L134" s="52"/>
    </row>
    <row r="135" spans="1:12" x14ac:dyDescent="0.25">
      <c r="A135" s="27"/>
      <c r="B135" s="27"/>
      <c r="C135" s="27"/>
      <c r="D135" s="27"/>
      <c r="E135" s="27"/>
      <c r="F135" s="27"/>
      <c r="G135" s="27"/>
      <c r="H135" s="27"/>
      <c r="I135" s="27"/>
      <c r="J135" s="27"/>
      <c r="K135" s="27"/>
      <c r="L135" s="52"/>
    </row>
    <row r="136" spans="1:12" x14ac:dyDescent="0.25">
      <c r="A136" s="27"/>
      <c r="B136" s="27"/>
      <c r="C136" s="27"/>
      <c r="D136" s="27"/>
      <c r="E136" s="27"/>
      <c r="F136" s="27"/>
      <c r="G136" s="27"/>
      <c r="H136" s="27"/>
      <c r="I136" s="27"/>
      <c r="J136" s="27"/>
      <c r="K136" s="27"/>
      <c r="L136" s="52"/>
    </row>
    <row r="137" spans="1:12" x14ac:dyDescent="0.25">
      <c r="A137" s="27"/>
      <c r="B137" s="27"/>
      <c r="C137" s="27"/>
      <c r="D137" s="27"/>
      <c r="E137" s="27"/>
      <c r="F137" s="27"/>
      <c r="G137" s="27"/>
      <c r="H137" s="27"/>
      <c r="I137" s="27"/>
      <c r="J137" s="27"/>
      <c r="K137" s="27"/>
      <c r="L137" s="52"/>
    </row>
    <row r="138" spans="1:12" x14ac:dyDescent="0.25">
      <c r="A138" s="27"/>
      <c r="B138" s="27"/>
      <c r="C138" s="27"/>
      <c r="D138" s="27"/>
      <c r="E138" s="27"/>
      <c r="F138" s="27"/>
      <c r="G138" s="27"/>
      <c r="H138" s="27"/>
      <c r="I138" s="27"/>
      <c r="J138" s="27"/>
      <c r="K138" s="27"/>
      <c r="L138" s="52"/>
    </row>
    <row r="139" spans="1:12" x14ac:dyDescent="0.25">
      <c r="A139" s="27"/>
      <c r="B139" s="27"/>
      <c r="C139" s="27"/>
      <c r="D139" s="27"/>
      <c r="E139" s="27"/>
      <c r="F139" s="27"/>
      <c r="G139" s="27"/>
      <c r="H139" s="27"/>
      <c r="I139" s="27"/>
      <c r="J139" s="27"/>
      <c r="K139" s="27"/>
      <c r="L139" s="52"/>
    </row>
    <row r="140" spans="1:12" x14ac:dyDescent="0.25">
      <c r="A140" s="27"/>
      <c r="B140" s="27"/>
      <c r="C140" s="27"/>
      <c r="D140" s="27"/>
      <c r="E140" s="27"/>
      <c r="F140" s="27"/>
      <c r="G140" s="27"/>
      <c r="H140" s="27"/>
      <c r="I140" s="27"/>
      <c r="J140" s="27"/>
      <c r="K140" s="27"/>
      <c r="L140" s="52"/>
    </row>
    <row r="141" spans="1:12" x14ac:dyDescent="0.25">
      <c r="A141" s="27"/>
      <c r="B141" s="27"/>
      <c r="C141" s="27"/>
      <c r="D141" s="27"/>
      <c r="E141" s="27"/>
      <c r="F141" s="27"/>
      <c r="G141" s="27"/>
      <c r="H141" s="27"/>
      <c r="I141" s="27"/>
      <c r="J141" s="27"/>
      <c r="K141" s="27"/>
      <c r="L141" s="52"/>
    </row>
    <row r="142" spans="1:12" x14ac:dyDescent="0.25">
      <c r="A142" s="27"/>
      <c r="B142" s="27"/>
      <c r="C142" s="27"/>
      <c r="D142" s="27"/>
      <c r="E142" s="27"/>
      <c r="F142" s="27"/>
      <c r="G142" s="27"/>
      <c r="H142" s="27"/>
      <c r="I142" s="27"/>
      <c r="J142" s="27"/>
      <c r="K142" s="27"/>
      <c r="L142" s="52"/>
    </row>
    <row r="143" spans="1:12" x14ac:dyDescent="0.25">
      <c r="A143" s="27"/>
      <c r="B143" s="27"/>
      <c r="C143" s="27"/>
      <c r="D143" s="27"/>
      <c r="E143" s="27"/>
      <c r="F143" s="27"/>
      <c r="G143" s="27"/>
      <c r="H143" s="27"/>
      <c r="I143" s="27"/>
      <c r="J143" s="27"/>
      <c r="K143" s="27"/>
      <c r="L143" s="52"/>
    </row>
    <row r="144" spans="1:12" x14ac:dyDescent="0.25">
      <c r="A144" s="27"/>
      <c r="B144" s="27"/>
      <c r="C144" s="27"/>
      <c r="D144" s="27"/>
      <c r="E144" s="27"/>
      <c r="F144" s="27"/>
      <c r="G144" s="27"/>
      <c r="H144" s="27"/>
      <c r="I144" s="27"/>
      <c r="J144" s="27"/>
      <c r="K144" s="27"/>
      <c r="L144" s="52"/>
    </row>
    <row r="145" spans="1:12" x14ac:dyDescent="0.25">
      <c r="A145" s="27"/>
      <c r="B145" s="27"/>
      <c r="C145" s="27"/>
      <c r="D145" s="27"/>
      <c r="E145" s="27"/>
      <c r="F145" s="27"/>
      <c r="G145" s="27"/>
      <c r="H145" s="27"/>
      <c r="I145" s="27"/>
      <c r="J145" s="27"/>
      <c r="K145" s="27"/>
      <c r="L145" s="52"/>
    </row>
    <row r="146" spans="1:12" x14ac:dyDescent="0.25">
      <c r="A146" s="27"/>
      <c r="B146" s="27"/>
      <c r="C146" s="27"/>
      <c r="D146" s="27"/>
      <c r="E146" s="27"/>
      <c r="F146" s="27"/>
      <c r="G146" s="27"/>
      <c r="H146" s="27"/>
      <c r="I146" s="27"/>
      <c r="J146" s="27"/>
      <c r="K146" s="27"/>
      <c r="L146" s="52"/>
    </row>
    <row r="147" spans="1:12" x14ac:dyDescent="0.25">
      <c r="A147" s="27"/>
      <c r="B147" s="27"/>
      <c r="C147" s="27"/>
      <c r="D147" s="27"/>
      <c r="E147" s="27"/>
      <c r="F147" s="27"/>
      <c r="G147" s="27"/>
      <c r="H147" s="27"/>
      <c r="I147" s="27"/>
      <c r="J147" s="27"/>
      <c r="K147" s="27"/>
      <c r="L147" s="52"/>
    </row>
    <row r="148" spans="1:12" x14ac:dyDescent="0.25">
      <c r="A148" s="27"/>
      <c r="B148" s="27"/>
      <c r="C148" s="27"/>
      <c r="D148" s="27"/>
      <c r="E148" s="27"/>
      <c r="F148" s="27"/>
      <c r="G148" s="27"/>
      <c r="H148" s="27"/>
      <c r="I148" s="27"/>
      <c r="J148" s="27"/>
      <c r="K148" s="27"/>
      <c r="L148" s="52"/>
    </row>
    <row r="149" spans="1:12" x14ac:dyDescent="0.25">
      <c r="A149" s="27"/>
      <c r="B149" s="27"/>
      <c r="C149" s="27"/>
      <c r="D149" s="27"/>
      <c r="E149" s="27"/>
      <c r="F149" s="27"/>
      <c r="G149" s="27"/>
      <c r="H149" s="27"/>
      <c r="I149" s="27"/>
      <c r="J149" s="27"/>
      <c r="K149" s="27"/>
      <c r="L149" s="52"/>
    </row>
    <row r="150" spans="1:12" x14ac:dyDescent="0.25">
      <c r="A150" s="27"/>
      <c r="B150" s="27"/>
      <c r="C150" s="27"/>
      <c r="D150" s="27"/>
      <c r="E150" s="27"/>
      <c r="F150" s="27"/>
      <c r="G150" s="27"/>
      <c r="H150" s="27"/>
      <c r="I150" s="27"/>
      <c r="J150" s="27"/>
      <c r="K150" s="27"/>
      <c r="L150" s="52"/>
    </row>
    <row r="151" spans="1:12" x14ac:dyDescent="0.25">
      <c r="A151" s="27"/>
      <c r="B151" s="27"/>
      <c r="C151" s="27"/>
      <c r="D151" s="27"/>
      <c r="E151" s="27"/>
      <c r="F151" s="27"/>
      <c r="G151" s="27"/>
      <c r="H151" s="27"/>
      <c r="I151" s="27"/>
      <c r="J151" s="27"/>
      <c r="K151" s="27"/>
      <c r="L151" s="52"/>
    </row>
    <row r="152" spans="1:12" x14ac:dyDescent="0.25">
      <c r="A152" s="27"/>
      <c r="B152" s="27"/>
      <c r="C152" s="27"/>
      <c r="D152" s="27"/>
      <c r="E152" s="27"/>
      <c r="F152" s="27"/>
      <c r="G152" s="27"/>
      <c r="H152" s="27"/>
      <c r="I152" s="27"/>
      <c r="J152" s="27"/>
      <c r="K152" s="27"/>
      <c r="L152" s="52"/>
    </row>
    <row r="153" spans="1:12" x14ac:dyDescent="0.25">
      <c r="A153" s="27"/>
      <c r="B153" s="27"/>
      <c r="C153" s="27"/>
      <c r="D153" s="27"/>
      <c r="E153" s="27"/>
      <c r="F153" s="27"/>
      <c r="G153" s="27"/>
      <c r="H153" s="27"/>
      <c r="I153" s="27"/>
      <c r="J153" s="27"/>
      <c r="K153" s="27"/>
      <c r="L153" s="52"/>
    </row>
    <row r="154" spans="1:12" x14ac:dyDescent="0.25">
      <c r="A154" s="27"/>
      <c r="B154" s="27"/>
      <c r="C154" s="27"/>
      <c r="D154" s="27"/>
      <c r="E154" s="27"/>
      <c r="F154" s="27"/>
      <c r="G154" s="27"/>
      <c r="H154" s="27"/>
      <c r="I154" s="27"/>
      <c r="J154" s="27"/>
      <c r="K154" s="27"/>
      <c r="L154" s="52"/>
    </row>
    <row r="155" spans="1:12" x14ac:dyDescent="0.25">
      <c r="A155" s="27"/>
      <c r="B155" s="27"/>
      <c r="C155" s="27"/>
      <c r="D155" s="27"/>
      <c r="E155" s="27"/>
      <c r="F155" s="27"/>
      <c r="G155" s="27"/>
      <c r="H155" s="27"/>
      <c r="I155" s="27"/>
      <c r="J155" s="27"/>
      <c r="K155" s="27"/>
      <c r="L155" s="52"/>
    </row>
    <row r="156" spans="1:12" x14ac:dyDescent="0.25">
      <c r="A156" s="27"/>
      <c r="B156" s="27"/>
      <c r="C156" s="27"/>
      <c r="D156" s="27"/>
      <c r="E156" s="27"/>
      <c r="F156" s="27"/>
      <c r="G156" s="27"/>
      <c r="H156" s="27"/>
      <c r="I156" s="27"/>
      <c r="J156" s="27"/>
      <c r="K156" s="27"/>
      <c r="L156" s="52"/>
    </row>
    <row r="157" spans="1:12" x14ac:dyDescent="0.25">
      <c r="A157" s="27"/>
      <c r="B157" s="27"/>
      <c r="C157" s="27"/>
      <c r="D157" s="27"/>
      <c r="E157" s="27"/>
      <c r="F157" s="27"/>
      <c r="G157" s="27"/>
      <c r="H157" s="27"/>
      <c r="I157" s="27"/>
      <c r="J157" s="27"/>
      <c r="K157" s="27"/>
      <c r="L157" s="52"/>
    </row>
    <row r="158" spans="1:12" x14ac:dyDescent="0.25">
      <c r="A158" s="27"/>
      <c r="B158" s="27"/>
      <c r="C158" s="27"/>
      <c r="D158" s="27"/>
      <c r="E158" s="27"/>
      <c r="F158" s="27"/>
      <c r="G158" s="27"/>
      <c r="H158" s="27"/>
      <c r="I158" s="27"/>
      <c r="J158" s="27"/>
      <c r="K158" s="27"/>
      <c r="L158" s="52"/>
    </row>
    <row r="159" spans="1:12" x14ac:dyDescent="0.25">
      <c r="A159" s="27"/>
      <c r="B159" s="27"/>
      <c r="C159" s="27"/>
      <c r="D159" s="27"/>
      <c r="E159" s="27"/>
      <c r="F159" s="27"/>
      <c r="G159" s="27"/>
      <c r="H159" s="27"/>
      <c r="I159" s="27"/>
      <c r="J159" s="27"/>
      <c r="K159" s="27"/>
      <c r="L159" s="52"/>
    </row>
    <row r="160" spans="1:12" x14ac:dyDescent="0.25">
      <c r="A160" s="27"/>
      <c r="B160" s="27"/>
      <c r="C160" s="27"/>
      <c r="D160" s="27"/>
      <c r="E160" s="27"/>
      <c r="F160" s="27"/>
      <c r="G160" s="27"/>
      <c r="H160" s="27"/>
      <c r="I160" s="27"/>
      <c r="J160" s="27"/>
      <c r="K160" s="27"/>
      <c r="L160" s="52"/>
    </row>
    <row r="161" spans="1:12" x14ac:dyDescent="0.25">
      <c r="A161" s="27"/>
      <c r="B161" s="27"/>
      <c r="C161" s="27"/>
      <c r="D161" s="27"/>
      <c r="E161" s="27"/>
      <c r="F161" s="27"/>
      <c r="G161" s="27"/>
      <c r="H161" s="27"/>
      <c r="I161" s="27"/>
      <c r="J161" s="27"/>
      <c r="K161" s="27"/>
      <c r="L161" s="52"/>
    </row>
    <row r="162" spans="1:12" x14ac:dyDescent="0.25">
      <c r="A162" s="27"/>
      <c r="B162" s="27"/>
      <c r="C162" s="27"/>
      <c r="D162" s="27"/>
      <c r="E162" s="27"/>
      <c r="F162" s="27"/>
      <c r="G162" s="27"/>
      <c r="H162" s="27"/>
      <c r="I162" s="27"/>
      <c r="J162" s="27"/>
      <c r="K162" s="27"/>
      <c r="L162" s="52"/>
    </row>
    <row r="163" spans="1:12" x14ac:dyDescent="0.25">
      <c r="A163" s="27"/>
      <c r="B163" s="27"/>
      <c r="C163" s="27"/>
      <c r="D163" s="27"/>
      <c r="E163" s="27"/>
      <c r="F163" s="27"/>
      <c r="G163" s="27"/>
      <c r="H163" s="27"/>
      <c r="I163" s="27"/>
      <c r="J163" s="27"/>
      <c r="K163" s="27"/>
      <c r="L163" s="52"/>
    </row>
    <row r="164" spans="1:12" x14ac:dyDescent="0.25">
      <c r="A164" s="27"/>
      <c r="B164" s="27"/>
      <c r="C164" s="27"/>
      <c r="D164" s="27"/>
      <c r="E164" s="27"/>
      <c r="F164" s="27"/>
      <c r="G164" s="27"/>
      <c r="H164" s="27"/>
      <c r="I164" s="27"/>
      <c r="J164" s="27"/>
      <c r="K164" s="27"/>
      <c r="L164" s="52"/>
    </row>
    <row r="165" spans="1:12" x14ac:dyDescent="0.25">
      <c r="A165" s="27"/>
      <c r="B165" s="27"/>
      <c r="C165" s="27"/>
      <c r="D165" s="27"/>
      <c r="E165" s="27"/>
      <c r="F165" s="27"/>
      <c r="G165" s="27"/>
      <c r="H165" s="27"/>
      <c r="I165" s="27"/>
      <c r="J165" s="27"/>
      <c r="K165" s="27"/>
      <c r="L165" s="52"/>
    </row>
    <row r="166" spans="1:12" x14ac:dyDescent="0.25">
      <c r="A166" s="27"/>
      <c r="B166" s="27"/>
      <c r="C166" s="27"/>
      <c r="D166" s="27"/>
      <c r="E166" s="27"/>
      <c r="F166" s="27"/>
      <c r="G166" s="27"/>
      <c r="H166" s="27"/>
      <c r="I166" s="27"/>
      <c r="J166" s="27"/>
      <c r="K166" s="27"/>
      <c r="L166" s="52"/>
    </row>
    <row r="167" spans="1:12" x14ac:dyDescent="0.25">
      <c r="A167" s="27"/>
      <c r="B167" s="27"/>
      <c r="C167" s="27"/>
      <c r="D167" s="27"/>
      <c r="E167" s="27"/>
      <c r="F167" s="27"/>
      <c r="G167" s="27"/>
      <c r="H167" s="27"/>
      <c r="I167" s="27"/>
      <c r="J167" s="27"/>
      <c r="K167" s="27"/>
      <c r="L167" s="52"/>
    </row>
    <row r="168" spans="1:12" x14ac:dyDescent="0.25">
      <c r="A168" s="27"/>
      <c r="B168" s="27"/>
      <c r="C168" s="27"/>
      <c r="D168" s="27"/>
      <c r="E168" s="27"/>
      <c r="F168" s="27"/>
      <c r="G168" s="27"/>
      <c r="H168" s="27"/>
      <c r="I168" s="27"/>
      <c r="J168" s="27"/>
      <c r="K168" s="27"/>
      <c r="L168" s="52"/>
    </row>
    <row r="169" spans="1:12" x14ac:dyDescent="0.25">
      <c r="A169" s="27"/>
      <c r="B169" s="27"/>
      <c r="C169" s="27"/>
      <c r="D169" s="27"/>
      <c r="E169" s="27"/>
      <c r="F169" s="27"/>
      <c r="G169" s="27"/>
      <c r="H169" s="27"/>
      <c r="I169" s="27"/>
      <c r="J169" s="27"/>
      <c r="K169" s="27"/>
      <c r="L169" s="52"/>
    </row>
    <row r="170" spans="1:12" x14ac:dyDescent="0.25">
      <c r="A170" s="27"/>
      <c r="B170" s="27"/>
      <c r="C170" s="27"/>
      <c r="D170" s="27"/>
      <c r="E170" s="27"/>
      <c r="F170" s="27"/>
      <c r="G170" s="27"/>
      <c r="H170" s="27"/>
      <c r="I170" s="27"/>
      <c r="J170" s="27"/>
      <c r="K170" s="27"/>
      <c r="L170" s="52"/>
    </row>
    <row r="171" spans="1:12" x14ac:dyDescent="0.25">
      <c r="A171" s="27"/>
      <c r="B171" s="27"/>
      <c r="C171" s="27"/>
      <c r="D171" s="27"/>
      <c r="E171" s="27"/>
      <c r="F171" s="27"/>
      <c r="G171" s="27"/>
      <c r="H171" s="27"/>
      <c r="I171" s="27"/>
      <c r="J171" s="27"/>
      <c r="K171" s="27"/>
      <c r="L171" s="52"/>
    </row>
    <row r="172" spans="1:12" x14ac:dyDescent="0.25">
      <c r="A172" s="27"/>
      <c r="B172" s="27"/>
      <c r="C172" s="27"/>
      <c r="D172" s="27"/>
      <c r="E172" s="27"/>
      <c r="F172" s="27"/>
      <c r="G172" s="27"/>
      <c r="H172" s="27"/>
      <c r="I172" s="27"/>
      <c r="J172" s="27"/>
      <c r="K172" s="27"/>
      <c r="L172" s="52"/>
    </row>
    <row r="173" spans="1:12" x14ac:dyDescent="0.25">
      <c r="A173" s="27"/>
      <c r="B173" s="27"/>
      <c r="C173" s="27"/>
      <c r="D173" s="27"/>
      <c r="E173" s="27"/>
      <c r="F173" s="27"/>
      <c r="G173" s="27"/>
      <c r="H173" s="27"/>
      <c r="I173" s="27"/>
      <c r="J173" s="27"/>
      <c r="K173" s="27"/>
      <c r="L173" s="52"/>
    </row>
    <row r="174" spans="1:12" x14ac:dyDescent="0.25">
      <c r="A174" s="27"/>
      <c r="B174" s="27"/>
      <c r="C174" s="27"/>
      <c r="D174" s="27"/>
      <c r="E174" s="27"/>
      <c r="F174" s="27"/>
      <c r="G174" s="27"/>
      <c r="H174" s="27"/>
      <c r="I174" s="27"/>
      <c r="J174" s="27"/>
      <c r="K174" s="27"/>
      <c r="L174" s="52"/>
    </row>
    <row r="175" spans="1:12" x14ac:dyDescent="0.25">
      <c r="A175" s="27"/>
      <c r="B175" s="27"/>
      <c r="C175" s="27"/>
      <c r="D175" s="27"/>
      <c r="E175" s="27"/>
      <c r="F175" s="27"/>
      <c r="G175" s="27"/>
      <c r="H175" s="27"/>
      <c r="I175" s="27"/>
      <c r="J175" s="27"/>
      <c r="K175" s="27"/>
      <c r="L175" s="52"/>
    </row>
    <row r="176" spans="1:12" x14ac:dyDescent="0.25">
      <c r="A176" s="27"/>
      <c r="B176" s="27"/>
      <c r="C176" s="27"/>
      <c r="D176" s="27"/>
      <c r="E176" s="27"/>
      <c r="F176" s="27"/>
      <c r="G176" s="27"/>
      <c r="H176" s="27"/>
      <c r="I176" s="27"/>
      <c r="J176" s="27"/>
      <c r="K176" s="27"/>
      <c r="L176" s="52"/>
    </row>
    <row r="177" spans="1:12" x14ac:dyDescent="0.25">
      <c r="A177" s="27"/>
      <c r="B177" s="27"/>
      <c r="C177" s="27"/>
      <c r="D177" s="27"/>
      <c r="E177" s="27"/>
      <c r="F177" s="27"/>
      <c r="G177" s="27"/>
      <c r="H177" s="27"/>
      <c r="I177" s="27"/>
      <c r="J177" s="27"/>
      <c r="K177" s="27"/>
      <c r="L177" s="52"/>
    </row>
    <row r="178" spans="1:12" x14ac:dyDescent="0.25">
      <c r="A178" s="27"/>
      <c r="B178" s="27"/>
      <c r="C178" s="27"/>
      <c r="D178" s="27"/>
      <c r="E178" s="27"/>
      <c r="F178" s="27"/>
      <c r="G178" s="27"/>
      <c r="H178" s="27"/>
      <c r="I178" s="27"/>
      <c r="J178" s="27"/>
      <c r="K178" s="27"/>
      <c r="L178" s="52"/>
    </row>
    <row r="179" spans="1:12" x14ac:dyDescent="0.25">
      <c r="A179" s="27"/>
      <c r="B179" s="27"/>
      <c r="C179" s="27"/>
      <c r="D179" s="27"/>
      <c r="E179" s="27"/>
      <c r="F179" s="27"/>
      <c r="G179" s="27"/>
      <c r="H179" s="27"/>
      <c r="I179" s="27"/>
      <c r="J179" s="27"/>
      <c r="K179" s="27"/>
      <c r="L179" s="52"/>
    </row>
    <row r="180" spans="1:12" x14ac:dyDescent="0.25">
      <c r="A180" s="27"/>
      <c r="B180" s="27"/>
      <c r="C180" s="27"/>
      <c r="D180" s="27"/>
      <c r="E180" s="27"/>
      <c r="F180" s="27"/>
      <c r="G180" s="27"/>
      <c r="H180" s="27"/>
      <c r="I180" s="27"/>
      <c r="J180" s="27"/>
      <c r="K180" s="27"/>
      <c r="L180" s="52"/>
    </row>
    <row r="181" spans="1:12" x14ac:dyDescent="0.25">
      <c r="A181" s="27"/>
      <c r="B181" s="27"/>
      <c r="C181" s="27"/>
      <c r="D181" s="27"/>
      <c r="E181" s="27"/>
      <c r="F181" s="27"/>
      <c r="G181" s="27"/>
      <c r="H181" s="27"/>
      <c r="I181" s="27"/>
      <c r="J181" s="27"/>
      <c r="K181" s="27"/>
      <c r="L181" s="52"/>
    </row>
    <row r="182" spans="1:12" x14ac:dyDescent="0.25">
      <c r="A182" s="27"/>
      <c r="B182" s="27"/>
      <c r="C182" s="27"/>
      <c r="D182" s="27"/>
      <c r="E182" s="27"/>
      <c r="F182" s="27"/>
      <c r="G182" s="27"/>
      <c r="H182" s="27"/>
      <c r="I182" s="27"/>
      <c r="J182" s="27"/>
      <c r="K182" s="27"/>
      <c r="L182" s="52"/>
    </row>
    <row r="183" spans="1:12" x14ac:dyDescent="0.25">
      <c r="A183" s="27"/>
      <c r="B183" s="27"/>
      <c r="C183" s="27"/>
      <c r="D183" s="27"/>
      <c r="E183" s="27"/>
      <c r="F183" s="27"/>
      <c r="G183" s="27"/>
      <c r="H183" s="27"/>
      <c r="I183" s="27"/>
      <c r="J183" s="27"/>
      <c r="K183" s="27"/>
      <c r="L183" s="52"/>
    </row>
    <row r="184" spans="1:12" x14ac:dyDescent="0.25">
      <c r="A184" s="27"/>
      <c r="B184" s="27"/>
      <c r="C184" s="27"/>
      <c r="D184" s="27"/>
      <c r="E184" s="27"/>
      <c r="F184" s="27"/>
      <c r="G184" s="27"/>
      <c r="H184" s="27"/>
      <c r="I184" s="27"/>
      <c r="J184" s="27"/>
      <c r="K184" s="27"/>
      <c r="L184" s="52"/>
    </row>
    <row r="185" spans="1:12" x14ac:dyDescent="0.25">
      <c r="A185" s="27"/>
      <c r="B185" s="27"/>
      <c r="C185" s="27"/>
      <c r="D185" s="27"/>
      <c r="E185" s="27"/>
      <c r="F185" s="27"/>
      <c r="G185" s="27"/>
      <c r="H185" s="27"/>
      <c r="I185" s="27"/>
      <c r="J185" s="27"/>
      <c r="K185" s="27"/>
      <c r="L185" s="52"/>
    </row>
    <row r="186" spans="1:12" x14ac:dyDescent="0.25">
      <c r="A186" s="27"/>
      <c r="B186" s="27"/>
      <c r="C186" s="27"/>
      <c r="D186" s="27"/>
      <c r="E186" s="27"/>
      <c r="F186" s="27"/>
      <c r="G186" s="27"/>
      <c r="H186" s="27"/>
      <c r="I186" s="27"/>
      <c r="J186" s="27"/>
      <c r="K186" s="27"/>
      <c r="L186" s="52"/>
    </row>
    <row r="187" spans="1:12" x14ac:dyDescent="0.25">
      <c r="A187" s="27"/>
      <c r="B187" s="27"/>
      <c r="C187" s="27"/>
      <c r="D187" s="27"/>
      <c r="E187" s="27"/>
      <c r="F187" s="27"/>
      <c r="G187" s="27"/>
      <c r="H187" s="27"/>
      <c r="I187" s="27"/>
      <c r="J187" s="27"/>
      <c r="K187" s="27"/>
      <c r="L187" s="52"/>
    </row>
    <row r="188" spans="1:12" x14ac:dyDescent="0.25">
      <c r="A188" s="27"/>
      <c r="B188" s="27"/>
      <c r="C188" s="27"/>
      <c r="D188" s="27"/>
      <c r="E188" s="27"/>
      <c r="F188" s="27"/>
      <c r="G188" s="27"/>
      <c r="H188" s="27"/>
      <c r="I188" s="27"/>
      <c r="J188" s="27"/>
      <c r="K188" s="27"/>
      <c r="L188" s="52"/>
    </row>
    <row r="189" spans="1:12" x14ac:dyDescent="0.25">
      <c r="A189" s="27"/>
      <c r="B189" s="27"/>
      <c r="C189" s="27"/>
      <c r="D189" s="27"/>
      <c r="E189" s="27"/>
      <c r="F189" s="27"/>
      <c r="G189" s="27"/>
      <c r="H189" s="27"/>
      <c r="I189" s="27"/>
      <c r="J189" s="27"/>
      <c r="K189" s="27"/>
      <c r="L189" s="52"/>
    </row>
    <row r="190" spans="1:12" x14ac:dyDescent="0.25">
      <c r="A190" s="27"/>
      <c r="B190" s="27"/>
      <c r="C190" s="27"/>
      <c r="D190" s="27"/>
      <c r="E190" s="27"/>
      <c r="F190" s="27"/>
      <c r="G190" s="27"/>
      <c r="H190" s="27"/>
      <c r="I190" s="27"/>
      <c r="J190" s="27"/>
      <c r="K190" s="27"/>
      <c r="L190" s="52"/>
    </row>
    <row r="191" spans="1:12" x14ac:dyDescent="0.25">
      <c r="A191" s="27"/>
      <c r="B191" s="27"/>
      <c r="C191" s="27"/>
      <c r="D191" s="27"/>
      <c r="E191" s="27"/>
      <c r="F191" s="27"/>
      <c r="G191" s="27"/>
      <c r="H191" s="27"/>
      <c r="I191" s="27"/>
      <c r="J191" s="27"/>
      <c r="K191" s="27"/>
      <c r="L191" s="52"/>
    </row>
    <row r="192" spans="1:12" x14ac:dyDescent="0.25">
      <c r="A192" s="27"/>
      <c r="B192" s="27"/>
      <c r="C192" s="27"/>
      <c r="D192" s="27"/>
      <c r="E192" s="27"/>
      <c r="F192" s="27"/>
      <c r="G192" s="27"/>
      <c r="H192" s="27"/>
      <c r="I192" s="27"/>
      <c r="J192" s="27"/>
      <c r="K192" s="27"/>
      <c r="L192" s="52"/>
    </row>
    <row r="193" spans="1:12" x14ac:dyDescent="0.25">
      <c r="A193" s="27"/>
      <c r="B193" s="27"/>
      <c r="C193" s="27"/>
      <c r="D193" s="27"/>
      <c r="E193" s="27"/>
      <c r="F193" s="27"/>
      <c r="G193" s="27"/>
      <c r="H193" s="27"/>
      <c r="I193" s="27"/>
      <c r="J193" s="27"/>
      <c r="K193" s="27"/>
      <c r="L193" s="52"/>
    </row>
    <row r="194" spans="1:12" x14ac:dyDescent="0.25">
      <c r="A194" s="27"/>
      <c r="B194" s="27"/>
      <c r="C194" s="27"/>
      <c r="D194" s="27"/>
      <c r="E194" s="27"/>
      <c r="F194" s="27"/>
      <c r="G194" s="27"/>
      <c r="H194" s="27"/>
      <c r="I194" s="27"/>
      <c r="J194" s="27"/>
      <c r="K194" s="27"/>
      <c r="L194" s="52"/>
    </row>
    <row r="195" spans="1:12" x14ac:dyDescent="0.25">
      <c r="A195" s="27"/>
      <c r="B195" s="27"/>
      <c r="C195" s="27"/>
      <c r="D195" s="27"/>
      <c r="E195" s="27"/>
      <c r="F195" s="27"/>
      <c r="G195" s="27"/>
      <c r="H195" s="27"/>
      <c r="I195" s="27"/>
      <c r="J195" s="27"/>
      <c r="K195" s="27"/>
      <c r="L195" s="52"/>
    </row>
    <row r="196" spans="1:12" x14ac:dyDescent="0.25">
      <c r="A196" s="27"/>
      <c r="B196" s="27"/>
      <c r="C196" s="27"/>
      <c r="D196" s="27"/>
      <c r="E196" s="27"/>
      <c r="F196" s="27"/>
      <c r="G196" s="27"/>
      <c r="H196" s="27"/>
      <c r="I196" s="27"/>
      <c r="J196" s="27"/>
      <c r="K196" s="27"/>
      <c r="L196" s="52"/>
    </row>
    <row r="197" spans="1:12" x14ac:dyDescent="0.25">
      <c r="A197" s="27"/>
      <c r="B197" s="27"/>
      <c r="C197" s="27"/>
      <c r="D197" s="27"/>
      <c r="E197" s="27"/>
      <c r="F197" s="27"/>
      <c r="G197" s="27"/>
      <c r="H197" s="27"/>
      <c r="I197" s="27"/>
      <c r="J197" s="27"/>
      <c r="K197" s="27"/>
      <c r="L197" s="52"/>
    </row>
    <row r="198" spans="1:12" x14ac:dyDescent="0.25">
      <c r="A198" s="27"/>
      <c r="B198" s="27"/>
      <c r="C198" s="27"/>
      <c r="D198" s="27"/>
      <c r="E198" s="27"/>
      <c r="F198" s="27"/>
      <c r="G198" s="27"/>
      <c r="H198" s="27"/>
      <c r="I198" s="27"/>
      <c r="J198" s="27"/>
      <c r="K198" s="27"/>
      <c r="L198" s="52"/>
    </row>
    <row r="199" spans="1:12" x14ac:dyDescent="0.25">
      <c r="A199" s="27"/>
      <c r="B199" s="27"/>
      <c r="C199" s="27"/>
      <c r="D199" s="27"/>
      <c r="E199" s="27"/>
      <c r="F199" s="27"/>
      <c r="G199" s="27"/>
      <c r="H199" s="27"/>
      <c r="I199" s="27"/>
      <c r="J199" s="27"/>
      <c r="K199" s="27"/>
      <c r="L199" s="52"/>
    </row>
    <row r="200" spans="1:12" x14ac:dyDescent="0.25">
      <c r="A200" s="27"/>
      <c r="B200" s="27"/>
      <c r="C200" s="27"/>
      <c r="D200" s="27"/>
      <c r="E200" s="27"/>
      <c r="F200" s="27"/>
      <c r="G200" s="27"/>
      <c r="H200" s="27"/>
      <c r="I200" s="27"/>
      <c r="J200" s="27"/>
      <c r="K200" s="27"/>
      <c r="L200" s="52"/>
    </row>
    <row r="201" spans="1:12" x14ac:dyDescent="0.25">
      <c r="A201" s="27"/>
      <c r="B201" s="27"/>
      <c r="C201" s="27"/>
      <c r="D201" s="27"/>
      <c r="E201" s="27"/>
      <c r="F201" s="27"/>
      <c r="G201" s="27"/>
      <c r="H201" s="27"/>
      <c r="I201" s="27"/>
      <c r="J201" s="27"/>
      <c r="K201" s="27"/>
      <c r="L201" s="52"/>
    </row>
    <row r="202" spans="1:12" x14ac:dyDescent="0.25">
      <c r="A202" s="27"/>
      <c r="B202" s="27"/>
      <c r="C202" s="27"/>
      <c r="D202" s="27"/>
      <c r="E202" s="27"/>
      <c r="F202" s="27"/>
      <c r="G202" s="27"/>
      <c r="H202" s="27"/>
      <c r="I202" s="27"/>
      <c r="J202" s="27"/>
      <c r="K202" s="27"/>
      <c r="L202" s="52"/>
    </row>
    <row r="203" spans="1:12" x14ac:dyDescent="0.25">
      <c r="A203" s="27"/>
      <c r="B203" s="27"/>
      <c r="C203" s="27"/>
      <c r="D203" s="27"/>
      <c r="E203" s="27"/>
      <c r="F203" s="27"/>
      <c r="G203" s="27"/>
      <c r="H203" s="27"/>
      <c r="I203" s="27"/>
      <c r="J203" s="27"/>
      <c r="K203" s="27"/>
      <c r="L203" s="52"/>
    </row>
    <row r="204" spans="1:12" x14ac:dyDescent="0.25">
      <c r="A204" s="27"/>
      <c r="B204" s="27"/>
      <c r="C204" s="27"/>
      <c r="D204" s="27"/>
      <c r="E204" s="27"/>
      <c r="F204" s="27"/>
      <c r="G204" s="27"/>
      <c r="H204" s="27"/>
      <c r="I204" s="27"/>
      <c r="J204" s="27"/>
      <c r="K204" s="27"/>
      <c r="L204" s="52"/>
    </row>
    <row r="205" spans="1:12" x14ac:dyDescent="0.25">
      <c r="A205" s="27"/>
      <c r="B205" s="27"/>
      <c r="C205" s="27"/>
      <c r="D205" s="27"/>
      <c r="E205" s="27"/>
      <c r="F205" s="27"/>
      <c r="G205" s="27"/>
      <c r="H205" s="27"/>
      <c r="I205" s="27"/>
      <c r="J205" s="27"/>
      <c r="K205" s="27"/>
      <c r="L205" s="52"/>
    </row>
    <row r="206" spans="1:12" x14ac:dyDescent="0.25">
      <c r="A206" s="27"/>
      <c r="B206" s="27"/>
      <c r="C206" s="27"/>
      <c r="D206" s="27"/>
      <c r="E206" s="27"/>
      <c r="F206" s="27"/>
      <c r="G206" s="27"/>
      <c r="H206" s="27"/>
      <c r="I206" s="27"/>
      <c r="J206" s="27"/>
      <c r="K206" s="27"/>
      <c r="L206" s="52"/>
    </row>
    <row r="207" spans="1:12" x14ac:dyDescent="0.25">
      <c r="A207" s="27"/>
      <c r="B207" s="27"/>
      <c r="C207" s="27"/>
      <c r="D207" s="27"/>
      <c r="E207" s="27"/>
      <c r="F207" s="27"/>
      <c r="G207" s="27"/>
      <c r="H207" s="27"/>
      <c r="I207" s="27"/>
      <c r="J207" s="27"/>
      <c r="K207" s="27"/>
      <c r="L207" s="52"/>
    </row>
    <row r="208" spans="1:12" x14ac:dyDescent="0.25">
      <c r="A208" s="27"/>
      <c r="B208" s="27"/>
      <c r="C208" s="27"/>
      <c r="D208" s="27"/>
      <c r="E208" s="27"/>
      <c r="F208" s="27"/>
      <c r="G208" s="27"/>
      <c r="H208" s="27"/>
      <c r="I208" s="27"/>
      <c r="J208" s="27"/>
      <c r="K208" s="27"/>
      <c r="L208" s="52"/>
    </row>
    <row r="209" spans="1:12" x14ac:dyDescent="0.25">
      <c r="A209" s="27"/>
      <c r="B209" s="27"/>
      <c r="C209" s="27"/>
      <c r="D209" s="27"/>
      <c r="E209" s="27"/>
      <c r="F209" s="27"/>
      <c r="G209" s="27"/>
      <c r="H209" s="27"/>
      <c r="I209" s="27"/>
      <c r="J209" s="27"/>
      <c r="K209" s="27"/>
      <c r="L209" s="52"/>
    </row>
    <row r="210" spans="1:12" x14ac:dyDescent="0.25">
      <c r="A210" s="27"/>
      <c r="B210" s="27"/>
      <c r="C210" s="27"/>
      <c r="D210" s="27"/>
      <c r="E210" s="27"/>
      <c r="F210" s="27"/>
      <c r="G210" s="27"/>
      <c r="H210" s="27"/>
      <c r="I210" s="27"/>
      <c r="J210" s="27"/>
      <c r="K210" s="27"/>
      <c r="L210" s="52"/>
    </row>
    <row r="211" spans="1:12" x14ac:dyDescent="0.25">
      <c r="A211" s="27"/>
      <c r="B211" s="27"/>
      <c r="C211" s="27"/>
      <c r="D211" s="27"/>
      <c r="E211" s="27"/>
      <c r="F211" s="27"/>
      <c r="G211" s="27"/>
      <c r="H211" s="27"/>
      <c r="I211" s="27"/>
      <c r="J211" s="27"/>
      <c r="K211" s="27"/>
      <c r="L211" s="52"/>
    </row>
    <row r="212" spans="1:12" x14ac:dyDescent="0.25">
      <c r="A212" s="27"/>
      <c r="B212" s="27"/>
      <c r="C212" s="27"/>
      <c r="D212" s="27"/>
      <c r="E212" s="27"/>
      <c r="F212" s="27"/>
      <c r="G212" s="27"/>
      <c r="H212" s="27"/>
      <c r="I212" s="27"/>
      <c r="J212" s="27"/>
      <c r="K212" s="27"/>
      <c r="L212" s="52"/>
    </row>
    <row r="213" spans="1:12" x14ac:dyDescent="0.25">
      <c r="A213" s="27"/>
      <c r="B213" s="27"/>
      <c r="C213" s="27"/>
      <c r="D213" s="27"/>
      <c r="E213" s="27"/>
      <c r="F213" s="27"/>
      <c r="G213" s="27"/>
      <c r="H213" s="27"/>
      <c r="I213" s="27"/>
      <c r="J213" s="27"/>
      <c r="K213" s="27"/>
      <c r="L213" s="52"/>
    </row>
    <row r="214" spans="1:12" x14ac:dyDescent="0.25">
      <c r="A214" s="27"/>
      <c r="B214" s="27"/>
      <c r="C214" s="27"/>
      <c r="D214" s="27"/>
      <c r="E214" s="27"/>
      <c r="F214" s="27"/>
      <c r="G214" s="27"/>
      <c r="H214" s="27"/>
      <c r="I214" s="27"/>
      <c r="J214" s="27"/>
      <c r="K214" s="27"/>
      <c r="L214" s="52"/>
    </row>
    <row r="215" spans="1:12" x14ac:dyDescent="0.25">
      <c r="A215" s="27"/>
      <c r="B215" s="27"/>
      <c r="C215" s="27"/>
      <c r="D215" s="27"/>
      <c r="E215" s="27"/>
      <c r="F215" s="27"/>
      <c r="G215" s="27"/>
      <c r="H215" s="27"/>
      <c r="I215" s="27"/>
      <c r="J215" s="27"/>
      <c r="K215" s="27"/>
      <c r="L215" s="52"/>
    </row>
    <row r="216" spans="1:12" x14ac:dyDescent="0.25">
      <c r="A216" s="27"/>
      <c r="B216" s="27"/>
      <c r="C216" s="27"/>
      <c r="D216" s="27"/>
      <c r="E216" s="27"/>
      <c r="F216" s="27"/>
      <c r="G216" s="27"/>
      <c r="H216" s="27"/>
      <c r="I216" s="27"/>
      <c r="J216" s="27"/>
      <c r="K216" s="27"/>
      <c r="L216" s="52"/>
    </row>
    <row r="217" spans="1:12" x14ac:dyDescent="0.25">
      <c r="A217" s="27"/>
      <c r="B217" s="27"/>
      <c r="C217" s="27"/>
      <c r="D217" s="27"/>
      <c r="E217" s="27"/>
      <c r="F217" s="27"/>
      <c r="G217" s="27"/>
      <c r="H217" s="27"/>
      <c r="I217" s="27"/>
      <c r="J217" s="27"/>
      <c r="K217" s="27"/>
      <c r="L217" s="52"/>
    </row>
    <row r="218" spans="1:12" x14ac:dyDescent="0.25">
      <c r="A218" s="27"/>
      <c r="B218" s="27"/>
      <c r="C218" s="27"/>
      <c r="D218" s="27"/>
      <c r="E218" s="27"/>
      <c r="F218" s="27"/>
      <c r="G218" s="27"/>
      <c r="H218" s="27"/>
      <c r="I218" s="27"/>
      <c r="J218" s="27"/>
      <c r="K218" s="27"/>
      <c r="L218" s="52"/>
    </row>
    <row r="219" spans="1:12" x14ac:dyDescent="0.25">
      <c r="A219" s="27"/>
      <c r="B219" s="27"/>
      <c r="C219" s="27"/>
      <c r="D219" s="27"/>
      <c r="E219" s="27"/>
      <c r="F219" s="27"/>
      <c r="G219" s="27"/>
      <c r="H219" s="27"/>
      <c r="I219" s="27"/>
      <c r="J219" s="27"/>
      <c r="K219" s="27"/>
      <c r="L219" s="52"/>
    </row>
    <row r="220" spans="1:12" x14ac:dyDescent="0.25">
      <c r="A220" s="27"/>
      <c r="B220" s="27"/>
      <c r="C220" s="27"/>
      <c r="D220" s="27"/>
      <c r="E220" s="27"/>
      <c r="F220" s="27"/>
      <c r="G220" s="27"/>
      <c r="H220" s="27"/>
      <c r="I220" s="27"/>
      <c r="J220" s="27"/>
      <c r="K220" s="27"/>
      <c r="L220" s="52"/>
    </row>
    <row r="221" spans="1:12" x14ac:dyDescent="0.25">
      <c r="A221" s="27"/>
      <c r="B221" s="27"/>
      <c r="C221" s="27"/>
      <c r="D221" s="27"/>
      <c r="E221" s="27"/>
      <c r="F221" s="27"/>
      <c r="G221" s="27"/>
      <c r="H221" s="27"/>
      <c r="I221" s="27"/>
      <c r="J221" s="27"/>
      <c r="K221" s="27"/>
      <c r="L221" s="52"/>
    </row>
    <row r="222" spans="1:12" x14ac:dyDescent="0.25">
      <c r="A222" s="27"/>
      <c r="B222" s="27"/>
      <c r="C222" s="27"/>
      <c r="D222" s="27"/>
      <c r="E222" s="27"/>
      <c r="F222" s="27"/>
      <c r="G222" s="27"/>
      <c r="H222" s="27"/>
      <c r="I222" s="27"/>
      <c r="J222" s="27"/>
      <c r="K222" s="27"/>
      <c r="L222" s="52"/>
    </row>
    <row r="223" spans="1:12" x14ac:dyDescent="0.25">
      <c r="A223" s="27"/>
      <c r="B223" s="27"/>
      <c r="C223" s="27"/>
      <c r="D223" s="27"/>
      <c r="E223" s="27"/>
      <c r="F223" s="27"/>
      <c r="G223" s="27"/>
      <c r="H223" s="27"/>
      <c r="I223" s="27"/>
      <c r="J223" s="27"/>
      <c r="K223" s="27"/>
      <c r="L223" s="52"/>
    </row>
    <row r="224" spans="1:12" x14ac:dyDescent="0.25">
      <c r="A224" s="27"/>
      <c r="B224" s="27"/>
      <c r="C224" s="27"/>
      <c r="D224" s="27"/>
      <c r="E224" s="27"/>
      <c r="F224" s="27"/>
      <c r="G224" s="27"/>
      <c r="H224" s="27"/>
      <c r="I224" s="27"/>
      <c r="J224" s="27"/>
      <c r="K224" s="27"/>
      <c r="L224" s="52"/>
    </row>
    <row r="225" spans="1:12" x14ac:dyDescent="0.25">
      <c r="A225" s="27"/>
      <c r="B225" s="27"/>
      <c r="C225" s="27"/>
      <c r="D225" s="27"/>
      <c r="E225" s="27"/>
      <c r="F225" s="27"/>
      <c r="G225" s="27"/>
      <c r="H225" s="27"/>
      <c r="I225" s="27"/>
      <c r="J225" s="27"/>
      <c r="K225" s="27"/>
      <c r="L225" s="52"/>
    </row>
    <row r="226" spans="1:12" x14ac:dyDescent="0.25">
      <c r="A226" s="27"/>
      <c r="B226" s="27"/>
      <c r="C226" s="27"/>
      <c r="D226" s="27"/>
      <c r="E226" s="27"/>
      <c r="F226" s="27"/>
      <c r="G226" s="27"/>
      <c r="H226" s="27"/>
      <c r="I226" s="27"/>
      <c r="J226" s="27"/>
      <c r="K226" s="27"/>
      <c r="L226" s="52"/>
    </row>
    <row r="227" spans="1:12" x14ac:dyDescent="0.25">
      <c r="A227" s="27"/>
      <c r="B227" s="27"/>
      <c r="C227" s="27"/>
      <c r="D227" s="27"/>
      <c r="E227" s="27"/>
      <c r="F227" s="27"/>
      <c r="G227" s="27"/>
      <c r="H227" s="27"/>
      <c r="I227" s="27"/>
      <c r="J227" s="27"/>
      <c r="K227" s="27"/>
      <c r="L227" s="52"/>
    </row>
    <row r="228" spans="1:12" x14ac:dyDescent="0.25">
      <c r="A228" s="27"/>
      <c r="B228" s="27"/>
      <c r="C228" s="27"/>
      <c r="D228" s="27"/>
      <c r="E228" s="27"/>
      <c r="F228" s="27"/>
      <c r="G228" s="27"/>
      <c r="H228" s="27"/>
      <c r="I228" s="27"/>
      <c r="J228" s="27"/>
      <c r="K228" s="27"/>
      <c r="L228" s="52"/>
    </row>
    <row r="229" spans="1:12" x14ac:dyDescent="0.25">
      <c r="A229" s="27"/>
      <c r="B229" s="27"/>
      <c r="C229" s="27"/>
      <c r="D229" s="27"/>
      <c r="E229" s="27"/>
      <c r="F229" s="27"/>
      <c r="G229" s="27"/>
      <c r="H229" s="27"/>
      <c r="I229" s="27"/>
      <c r="J229" s="27"/>
      <c r="K229" s="27"/>
      <c r="L229" s="52"/>
    </row>
    <row r="230" spans="1:12" x14ac:dyDescent="0.25">
      <c r="A230" s="27"/>
      <c r="B230" s="27"/>
      <c r="C230" s="27"/>
      <c r="D230" s="27"/>
      <c r="E230" s="27"/>
      <c r="F230" s="27"/>
      <c r="G230" s="27"/>
      <c r="H230" s="27"/>
      <c r="I230" s="27"/>
      <c r="J230" s="27"/>
      <c r="K230" s="27"/>
      <c r="L230" s="52"/>
    </row>
    <row r="231" spans="1:12" x14ac:dyDescent="0.25">
      <c r="A231" s="27"/>
      <c r="B231" s="27"/>
      <c r="C231" s="27"/>
      <c r="D231" s="27"/>
      <c r="E231" s="27"/>
      <c r="F231" s="27"/>
      <c r="G231" s="27"/>
      <c r="H231" s="27"/>
      <c r="I231" s="27"/>
      <c r="J231" s="27"/>
      <c r="K231" s="27"/>
      <c r="L231" s="52"/>
    </row>
    <row r="232" spans="1:12" x14ac:dyDescent="0.25">
      <c r="A232" s="27"/>
      <c r="B232" s="27"/>
      <c r="C232" s="27"/>
      <c r="D232" s="27"/>
      <c r="E232" s="27"/>
      <c r="F232" s="27"/>
      <c r="G232" s="27"/>
      <c r="H232" s="27"/>
      <c r="I232" s="27"/>
      <c r="J232" s="27"/>
      <c r="K232" s="27"/>
      <c r="L232" s="52"/>
    </row>
    <row r="233" spans="1:12" x14ac:dyDescent="0.25">
      <c r="A233" s="27"/>
      <c r="B233" s="27"/>
      <c r="C233" s="27"/>
      <c r="D233" s="27"/>
      <c r="E233" s="27"/>
      <c r="F233" s="27"/>
      <c r="G233" s="27"/>
      <c r="H233" s="27"/>
      <c r="I233" s="27"/>
      <c r="J233" s="27"/>
      <c r="K233" s="27"/>
      <c r="L233" s="52"/>
    </row>
    <row r="234" spans="1:12" x14ac:dyDescent="0.25">
      <c r="A234" s="27"/>
      <c r="B234" s="27"/>
      <c r="C234" s="27"/>
      <c r="D234" s="27"/>
      <c r="E234" s="27"/>
      <c r="F234" s="27"/>
      <c r="G234" s="27"/>
      <c r="H234" s="27"/>
      <c r="I234" s="27"/>
      <c r="J234" s="27"/>
      <c r="K234" s="27"/>
      <c r="L234" s="52"/>
    </row>
    <row r="235" spans="1:12" x14ac:dyDescent="0.25">
      <c r="A235" s="27"/>
      <c r="B235" s="27"/>
      <c r="C235" s="27"/>
      <c r="D235" s="27"/>
      <c r="E235" s="27"/>
      <c r="F235" s="27"/>
      <c r="G235" s="27"/>
      <c r="H235" s="27"/>
      <c r="I235" s="27"/>
      <c r="J235" s="27"/>
      <c r="K235" s="27"/>
      <c r="L235" s="52"/>
    </row>
    <row r="236" spans="1:12" x14ac:dyDescent="0.25">
      <c r="A236" s="27"/>
      <c r="B236" s="27"/>
      <c r="C236" s="27"/>
      <c r="D236" s="27"/>
      <c r="E236" s="27"/>
      <c r="F236" s="27"/>
      <c r="G236" s="27"/>
      <c r="H236" s="27"/>
      <c r="I236" s="27"/>
      <c r="J236" s="27"/>
      <c r="K236" s="27"/>
      <c r="L236" s="52"/>
    </row>
    <row r="237" spans="1:12" x14ac:dyDescent="0.25">
      <c r="A237" s="27"/>
      <c r="B237" s="27"/>
      <c r="C237" s="27"/>
      <c r="D237" s="27"/>
      <c r="E237" s="27"/>
      <c r="F237" s="27"/>
      <c r="G237" s="27"/>
      <c r="H237" s="27"/>
      <c r="I237" s="27"/>
      <c r="J237" s="27"/>
      <c r="K237" s="27"/>
      <c r="L237" s="52"/>
    </row>
    <row r="238" spans="1:12" x14ac:dyDescent="0.25">
      <c r="A238" s="27"/>
      <c r="B238" s="27"/>
      <c r="C238" s="27"/>
      <c r="D238" s="27"/>
      <c r="E238" s="27"/>
      <c r="F238" s="27"/>
      <c r="G238" s="27"/>
      <c r="H238" s="27"/>
      <c r="I238" s="27"/>
      <c r="J238" s="27"/>
      <c r="K238" s="27"/>
      <c r="L238" s="52"/>
    </row>
    <row r="239" spans="1:12" x14ac:dyDescent="0.25">
      <c r="A239" s="27"/>
      <c r="B239" s="27"/>
      <c r="C239" s="27"/>
      <c r="D239" s="27"/>
      <c r="E239" s="27"/>
      <c r="F239" s="27"/>
      <c r="G239" s="27"/>
      <c r="H239" s="27"/>
      <c r="I239" s="27"/>
      <c r="J239" s="27"/>
      <c r="K239" s="27"/>
      <c r="L239" s="52"/>
    </row>
    <row r="240" spans="1:12" x14ac:dyDescent="0.25">
      <c r="A240" s="27"/>
      <c r="B240" s="27"/>
      <c r="C240" s="27"/>
      <c r="D240" s="27"/>
      <c r="E240" s="27"/>
      <c r="F240" s="27"/>
      <c r="G240" s="27"/>
      <c r="H240" s="27"/>
      <c r="I240" s="27"/>
      <c r="J240" s="27"/>
      <c r="K240" s="27"/>
      <c r="L240" s="52"/>
    </row>
    <row r="241" spans="1:12" x14ac:dyDescent="0.25">
      <c r="A241" s="27"/>
      <c r="B241" s="27"/>
      <c r="C241" s="27"/>
      <c r="D241" s="27"/>
      <c r="E241" s="27"/>
      <c r="F241" s="27"/>
      <c r="G241" s="27"/>
      <c r="H241" s="27"/>
      <c r="I241" s="27"/>
      <c r="J241" s="27"/>
      <c r="K241" s="27"/>
      <c r="L241" s="52"/>
    </row>
    <row r="242" spans="1:12" x14ac:dyDescent="0.25">
      <c r="A242" s="27"/>
      <c r="B242" s="27"/>
      <c r="C242" s="27"/>
      <c r="D242" s="27"/>
      <c r="E242" s="27"/>
      <c r="F242" s="27"/>
      <c r="G242" s="27"/>
      <c r="H242" s="27"/>
      <c r="I242" s="27"/>
      <c r="J242" s="27"/>
      <c r="K242" s="27"/>
      <c r="L242" s="52"/>
    </row>
    <row r="243" spans="1:12" x14ac:dyDescent="0.25">
      <c r="A243" s="27"/>
      <c r="B243" s="27"/>
      <c r="C243" s="27"/>
      <c r="D243" s="27"/>
      <c r="E243" s="27"/>
      <c r="F243" s="27"/>
      <c r="G243" s="27"/>
      <c r="H243" s="27"/>
      <c r="I243" s="27"/>
      <c r="J243" s="27"/>
      <c r="K243" s="27"/>
      <c r="L243" s="52"/>
    </row>
    <row r="244" spans="1:12" x14ac:dyDescent="0.25">
      <c r="A244" s="27"/>
      <c r="B244" s="27"/>
      <c r="C244" s="27"/>
      <c r="D244" s="27"/>
      <c r="E244" s="27"/>
      <c r="F244" s="27"/>
      <c r="G244" s="27"/>
      <c r="H244" s="27"/>
      <c r="I244" s="27"/>
      <c r="J244" s="27"/>
      <c r="K244" s="27"/>
      <c r="L244" s="52"/>
    </row>
    <row r="245" spans="1:12" x14ac:dyDescent="0.25">
      <c r="A245" s="50"/>
      <c r="B245" s="50"/>
      <c r="C245" s="50"/>
      <c r="D245" s="50"/>
      <c r="E245" s="50"/>
      <c r="F245" s="50"/>
      <c r="G245" s="50"/>
      <c r="H245" s="50"/>
      <c r="I245" s="50"/>
      <c r="J245" s="50"/>
      <c r="K245" s="50"/>
    </row>
    <row r="246" spans="1:12" x14ac:dyDescent="0.25">
      <c r="A246" s="50"/>
      <c r="B246" s="50"/>
      <c r="C246" s="50"/>
      <c r="D246" s="50"/>
      <c r="E246" s="50"/>
      <c r="F246" s="50"/>
      <c r="G246" s="50"/>
      <c r="H246" s="50"/>
      <c r="I246" s="50"/>
      <c r="J246" s="50"/>
      <c r="K246" s="50"/>
    </row>
    <row r="247" spans="1:12" x14ac:dyDescent="0.25">
      <c r="A247" s="50"/>
      <c r="B247" s="50"/>
      <c r="C247" s="50"/>
      <c r="D247" s="50"/>
      <c r="E247" s="50"/>
      <c r="F247" s="50"/>
      <c r="G247" s="50"/>
      <c r="H247" s="50"/>
      <c r="I247" s="50"/>
      <c r="J247" s="50"/>
      <c r="K247" s="50"/>
    </row>
    <row r="248" spans="1:12" x14ac:dyDescent="0.25">
      <c r="A248" s="50"/>
      <c r="B248" s="50"/>
      <c r="C248" s="50"/>
      <c r="D248" s="50"/>
      <c r="E248" s="50"/>
      <c r="F248" s="50"/>
      <c r="G248" s="50"/>
      <c r="H248" s="50"/>
      <c r="I248" s="50"/>
      <c r="J248" s="50"/>
      <c r="K248" s="50"/>
    </row>
    <row r="249" spans="1:12" x14ac:dyDescent="0.25">
      <c r="A249" s="50"/>
      <c r="B249" s="50"/>
      <c r="C249" s="50"/>
      <c r="D249" s="50"/>
      <c r="E249" s="50"/>
      <c r="F249" s="50"/>
      <c r="G249" s="50"/>
      <c r="H249" s="50"/>
      <c r="I249" s="50"/>
      <c r="J249" s="50"/>
      <c r="K249" s="50"/>
    </row>
    <row r="250" spans="1:12" x14ac:dyDescent="0.25">
      <c r="A250" s="50"/>
      <c r="B250" s="50"/>
      <c r="C250" s="50"/>
      <c r="D250" s="50"/>
      <c r="E250" s="50"/>
      <c r="F250" s="50"/>
      <c r="G250" s="50"/>
      <c r="H250" s="50"/>
      <c r="I250" s="50"/>
      <c r="J250" s="50"/>
      <c r="K250" s="50"/>
    </row>
    <row r="251" spans="1:12" x14ac:dyDescent="0.25">
      <c r="A251" s="50"/>
      <c r="B251" s="50"/>
      <c r="C251" s="50"/>
      <c r="D251" s="50"/>
      <c r="E251" s="50"/>
      <c r="F251" s="50"/>
      <c r="G251" s="50"/>
      <c r="H251" s="50"/>
      <c r="I251" s="50"/>
      <c r="J251" s="50"/>
      <c r="K251" s="50"/>
    </row>
    <row r="252" spans="1:12" x14ac:dyDescent="0.25">
      <c r="A252" s="50"/>
      <c r="B252" s="50"/>
      <c r="C252" s="50"/>
      <c r="D252" s="50"/>
      <c r="E252" s="50"/>
      <c r="F252" s="50"/>
      <c r="G252" s="50"/>
      <c r="H252" s="50"/>
      <c r="I252" s="50"/>
      <c r="J252" s="50"/>
      <c r="K252" s="50"/>
    </row>
    <row r="253" spans="1:12" x14ac:dyDescent="0.25">
      <c r="A253" s="50"/>
      <c r="B253" s="50"/>
      <c r="C253" s="50"/>
      <c r="D253" s="50"/>
      <c r="E253" s="50"/>
      <c r="F253" s="50"/>
      <c r="G253" s="50"/>
      <c r="H253" s="50"/>
      <c r="I253" s="50"/>
      <c r="J253" s="50"/>
      <c r="K253" s="50"/>
    </row>
    <row r="254" spans="1:12" x14ac:dyDescent="0.25">
      <c r="A254" s="50"/>
      <c r="B254" s="50"/>
      <c r="C254" s="50"/>
      <c r="D254" s="50"/>
      <c r="E254" s="50"/>
      <c r="F254" s="50"/>
      <c r="G254" s="50"/>
      <c r="H254" s="50"/>
      <c r="I254" s="50"/>
      <c r="J254" s="50"/>
      <c r="K254" s="50"/>
    </row>
    <row r="255" spans="1:12" x14ac:dyDescent="0.25">
      <c r="A255" s="50"/>
      <c r="B255" s="50"/>
      <c r="C255" s="50"/>
      <c r="D255" s="50"/>
      <c r="E255" s="50"/>
      <c r="F255" s="50"/>
      <c r="G255" s="50"/>
      <c r="H255" s="50"/>
      <c r="I255" s="50"/>
      <c r="J255" s="50"/>
      <c r="K255" s="50"/>
    </row>
    <row r="256" spans="1:12" x14ac:dyDescent="0.25">
      <c r="A256" s="50"/>
      <c r="B256" s="50"/>
      <c r="C256" s="50"/>
      <c r="D256" s="50"/>
      <c r="E256" s="50"/>
      <c r="F256" s="50"/>
      <c r="G256" s="50"/>
      <c r="H256" s="50"/>
      <c r="I256" s="50"/>
      <c r="J256" s="50"/>
      <c r="K256" s="50"/>
    </row>
    <row r="257" spans="1:11" x14ac:dyDescent="0.25">
      <c r="A257" s="50"/>
      <c r="B257" s="50"/>
      <c r="C257" s="50"/>
      <c r="D257" s="50"/>
      <c r="E257" s="50"/>
      <c r="F257" s="50"/>
      <c r="G257" s="50"/>
      <c r="H257" s="50"/>
      <c r="I257" s="50"/>
      <c r="J257" s="50"/>
      <c r="K257" s="50"/>
    </row>
    <row r="258" spans="1:11" x14ac:dyDescent="0.25">
      <c r="A258" s="50"/>
      <c r="B258" s="50"/>
      <c r="C258" s="50"/>
      <c r="D258" s="50"/>
      <c r="E258" s="50"/>
      <c r="F258" s="50"/>
      <c r="G258" s="50"/>
      <c r="H258" s="50"/>
      <c r="I258" s="50"/>
      <c r="J258" s="50"/>
      <c r="K258" s="50"/>
    </row>
    <row r="259" spans="1:11" x14ac:dyDescent="0.25">
      <c r="A259" s="50"/>
      <c r="B259" s="50"/>
      <c r="C259" s="50"/>
      <c r="D259" s="50"/>
      <c r="E259" s="50"/>
      <c r="F259" s="50"/>
      <c r="G259" s="50"/>
      <c r="H259" s="50"/>
      <c r="I259" s="50"/>
      <c r="J259" s="50"/>
      <c r="K259" s="50"/>
    </row>
    <row r="260" spans="1:11" x14ac:dyDescent="0.25">
      <c r="A260" s="50"/>
      <c r="B260" s="50"/>
      <c r="C260" s="50"/>
      <c r="D260" s="50"/>
      <c r="E260" s="50"/>
      <c r="F260" s="50"/>
      <c r="G260" s="50"/>
      <c r="H260" s="50"/>
      <c r="I260" s="50"/>
      <c r="J260" s="50"/>
      <c r="K260" s="50"/>
    </row>
    <row r="261" spans="1:11" x14ac:dyDescent="0.25">
      <c r="A261" s="50"/>
      <c r="B261" s="50"/>
      <c r="C261" s="50"/>
      <c r="D261" s="50"/>
      <c r="E261" s="50"/>
      <c r="F261" s="50"/>
      <c r="G261" s="50"/>
      <c r="H261" s="50"/>
      <c r="I261" s="50"/>
      <c r="J261" s="50"/>
      <c r="K261" s="50"/>
    </row>
    <row r="262" spans="1:11" x14ac:dyDescent="0.25">
      <c r="A262" s="50"/>
      <c r="B262" s="50"/>
      <c r="C262" s="50"/>
      <c r="D262" s="50"/>
      <c r="E262" s="50"/>
      <c r="F262" s="50"/>
      <c r="G262" s="50"/>
      <c r="H262" s="50"/>
      <c r="I262" s="50"/>
      <c r="J262" s="50"/>
      <c r="K262" s="50"/>
    </row>
    <row r="263" spans="1:11" x14ac:dyDescent="0.25">
      <c r="A263" s="50"/>
      <c r="B263" s="50"/>
      <c r="C263" s="50"/>
      <c r="D263" s="50"/>
      <c r="E263" s="50"/>
      <c r="F263" s="50"/>
      <c r="G263" s="50"/>
      <c r="H263" s="50"/>
      <c r="I263" s="50"/>
      <c r="J263" s="50"/>
      <c r="K263" s="50"/>
    </row>
    <row r="264" spans="1:11" x14ac:dyDescent="0.25">
      <c r="A264" s="50"/>
      <c r="B264" s="50"/>
      <c r="C264" s="50"/>
      <c r="D264" s="50"/>
      <c r="E264" s="50"/>
      <c r="F264" s="50"/>
      <c r="G264" s="50"/>
      <c r="H264" s="50"/>
      <c r="I264" s="50"/>
      <c r="J264" s="50"/>
      <c r="K264" s="50"/>
    </row>
    <row r="265" spans="1:11" x14ac:dyDescent="0.25">
      <c r="A265" s="50"/>
      <c r="B265" s="50"/>
      <c r="C265" s="50"/>
      <c r="D265" s="50"/>
      <c r="E265" s="50"/>
      <c r="F265" s="50"/>
      <c r="G265" s="50"/>
      <c r="H265" s="50"/>
      <c r="I265" s="50"/>
      <c r="J265" s="50"/>
      <c r="K265" s="50"/>
    </row>
    <row r="266" spans="1:11" x14ac:dyDescent="0.25">
      <c r="A266" s="50"/>
      <c r="B266" s="50"/>
      <c r="C266" s="50"/>
      <c r="D266" s="50"/>
      <c r="E266" s="50"/>
      <c r="F266" s="50"/>
      <c r="G266" s="50"/>
      <c r="H266" s="50"/>
      <c r="I266" s="50"/>
      <c r="J266" s="50"/>
      <c r="K266" s="50"/>
    </row>
    <row r="267" spans="1:11" x14ac:dyDescent="0.25">
      <c r="A267" s="50"/>
      <c r="B267" s="50"/>
      <c r="C267" s="50"/>
      <c r="D267" s="50"/>
      <c r="E267" s="50"/>
      <c r="F267" s="50"/>
      <c r="G267" s="50"/>
      <c r="H267" s="50"/>
      <c r="I267" s="50"/>
      <c r="J267" s="50"/>
      <c r="K267" s="50"/>
    </row>
    <row r="268" spans="1:11" x14ac:dyDescent="0.25">
      <c r="A268" s="50"/>
      <c r="B268" s="50"/>
      <c r="C268" s="50"/>
      <c r="D268" s="50"/>
      <c r="E268" s="50"/>
      <c r="F268" s="50"/>
      <c r="G268" s="50"/>
      <c r="H268" s="50"/>
      <c r="I268" s="50"/>
      <c r="J268" s="50"/>
      <c r="K268" s="50"/>
    </row>
    <row r="269" spans="1:11" x14ac:dyDescent="0.25">
      <c r="A269" s="50"/>
      <c r="B269" s="50"/>
      <c r="C269" s="50"/>
      <c r="D269" s="50"/>
      <c r="E269" s="50"/>
      <c r="F269" s="50"/>
      <c r="G269" s="50"/>
      <c r="H269" s="50"/>
      <c r="I269" s="50"/>
      <c r="J269" s="50"/>
      <c r="K269" s="50"/>
    </row>
    <row r="270" spans="1:11" x14ac:dyDescent="0.25">
      <c r="A270" s="50"/>
      <c r="B270" s="50"/>
      <c r="C270" s="50"/>
      <c r="D270" s="50"/>
      <c r="E270" s="50"/>
      <c r="F270" s="50"/>
      <c r="G270" s="50"/>
      <c r="H270" s="50"/>
      <c r="I270" s="50"/>
      <c r="J270" s="50"/>
      <c r="K270" s="50"/>
    </row>
    <row r="271" spans="1:11" x14ac:dyDescent="0.25">
      <c r="A271" s="50"/>
      <c r="B271" s="50"/>
      <c r="C271" s="50"/>
      <c r="D271" s="50"/>
      <c r="E271" s="50"/>
      <c r="F271" s="50"/>
      <c r="G271" s="50"/>
      <c r="H271" s="50"/>
      <c r="I271" s="50"/>
      <c r="J271" s="50"/>
      <c r="K271" s="50"/>
    </row>
    <row r="272" spans="1:11" x14ac:dyDescent="0.25">
      <c r="A272" s="50"/>
      <c r="B272" s="50"/>
      <c r="C272" s="50"/>
      <c r="D272" s="50"/>
      <c r="E272" s="50"/>
      <c r="F272" s="50"/>
      <c r="G272" s="50"/>
      <c r="H272" s="50"/>
      <c r="I272" s="50"/>
      <c r="J272" s="50"/>
      <c r="K272" s="50"/>
    </row>
    <row r="273" spans="1:11" x14ac:dyDescent="0.25">
      <c r="A273" s="50"/>
      <c r="B273" s="50"/>
      <c r="C273" s="50"/>
      <c r="D273" s="50"/>
      <c r="E273" s="50"/>
      <c r="F273" s="50"/>
      <c r="G273" s="50"/>
      <c r="H273" s="50"/>
      <c r="I273" s="50"/>
      <c r="J273" s="50"/>
      <c r="K273" s="50"/>
    </row>
    <row r="274" spans="1:11" x14ac:dyDescent="0.25">
      <c r="A274" s="50"/>
      <c r="B274" s="50"/>
      <c r="C274" s="50"/>
      <c r="D274" s="50"/>
      <c r="E274" s="50"/>
      <c r="F274" s="50"/>
      <c r="G274" s="50"/>
      <c r="H274" s="50"/>
      <c r="I274" s="50"/>
      <c r="J274" s="50"/>
      <c r="K274" s="50"/>
    </row>
    <row r="275" spans="1:11" x14ac:dyDescent="0.25">
      <c r="A275" s="50"/>
      <c r="B275" s="50"/>
      <c r="C275" s="50"/>
      <c r="D275" s="50"/>
      <c r="E275" s="50"/>
      <c r="F275" s="50"/>
      <c r="G275" s="50"/>
      <c r="H275" s="50"/>
      <c r="I275" s="50"/>
      <c r="J275" s="50"/>
      <c r="K275" s="50"/>
    </row>
    <row r="276" spans="1:11" x14ac:dyDescent="0.25">
      <c r="A276" s="50"/>
      <c r="B276" s="50"/>
      <c r="C276" s="50"/>
      <c r="D276" s="50"/>
      <c r="E276" s="50"/>
      <c r="F276" s="50"/>
      <c r="G276" s="50"/>
      <c r="H276" s="50"/>
      <c r="I276" s="50"/>
      <c r="J276" s="50"/>
      <c r="K276" s="50"/>
    </row>
    <row r="277" spans="1:11" x14ac:dyDescent="0.25">
      <c r="A277" s="50"/>
      <c r="B277" s="50"/>
      <c r="C277" s="50"/>
      <c r="D277" s="50"/>
      <c r="E277" s="50"/>
      <c r="F277" s="50"/>
      <c r="G277" s="50"/>
      <c r="H277" s="50"/>
      <c r="I277" s="50"/>
      <c r="J277" s="50"/>
      <c r="K277" s="50"/>
    </row>
    <row r="278" spans="1:11" x14ac:dyDescent="0.25">
      <c r="A278" s="50"/>
      <c r="B278" s="50"/>
      <c r="C278" s="50"/>
      <c r="D278" s="50"/>
      <c r="E278" s="50"/>
      <c r="F278" s="50"/>
      <c r="G278" s="50"/>
      <c r="H278" s="50"/>
      <c r="I278" s="50"/>
      <c r="J278" s="50"/>
      <c r="K278" s="50"/>
    </row>
    <row r="279" spans="1:11" x14ac:dyDescent="0.25">
      <c r="A279" s="50"/>
      <c r="B279" s="50"/>
      <c r="C279" s="50"/>
      <c r="D279" s="50"/>
      <c r="E279" s="50"/>
      <c r="F279" s="50"/>
      <c r="G279" s="50"/>
      <c r="H279" s="50"/>
      <c r="I279" s="50"/>
      <c r="J279" s="50"/>
      <c r="K279" s="50"/>
    </row>
    <row r="280" spans="1:11" x14ac:dyDescent="0.25">
      <c r="A280" s="50"/>
      <c r="B280" s="50"/>
      <c r="C280" s="50"/>
      <c r="D280" s="50"/>
      <c r="E280" s="50"/>
      <c r="F280" s="50"/>
      <c r="G280" s="50"/>
      <c r="H280" s="50"/>
      <c r="I280" s="50"/>
      <c r="J280" s="50"/>
      <c r="K280" s="50"/>
    </row>
    <row r="281" spans="1:11" x14ac:dyDescent="0.25">
      <c r="A281" s="50"/>
      <c r="B281" s="50"/>
      <c r="C281" s="50"/>
      <c r="D281" s="50"/>
      <c r="E281" s="50"/>
      <c r="F281" s="50"/>
      <c r="G281" s="50"/>
      <c r="H281" s="50"/>
      <c r="I281" s="50"/>
      <c r="J281" s="50"/>
      <c r="K281" s="50"/>
    </row>
    <row r="282" spans="1:11" x14ac:dyDescent="0.25">
      <c r="A282" s="50"/>
      <c r="B282" s="50"/>
      <c r="C282" s="50"/>
      <c r="D282" s="50"/>
      <c r="E282" s="50"/>
      <c r="F282" s="50"/>
      <c r="G282" s="50"/>
      <c r="H282" s="50"/>
      <c r="I282" s="50"/>
      <c r="J282" s="50"/>
      <c r="K282" s="50"/>
    </row>
    <row r="283" spans="1:11" x14ac:dyDescent="0.25">
      <c r="A283" s="50"/>
      <c r="B283" s="50"/>
      <c r="C283" s="50"/>
      <c r="D283" s="50"/>
      <c r="E283" s="50"/>
      <c r="F283" s="50"/>
      <c r="G283" s="50"/>
      <c r="H283" s="50"/>
      <c r="I283" s="50"/>
      <c r="J283" s="50"/>
      <c r="K283" s="50"/>
    </row>
    <row r="284" spans="1:11" x14ac:dyDescent="0.25">
      <c r="A284" s="50"/>
      <c r="B284" s="50"/>
      <c r="C284" s="50"/>
      <c r="D284" s="50"/>
      <c r="E284" s="50"/>
      <c r="F284" s="50"/>
      <c r="G284" s="50"/>
      <c r="H284" s="50"/>
      <c r="I284" s="50"/>
      <c r="J284" s="50"/>
      <c r="K284" s="50"/>
    </row>
    <row r="285" spans="1:11" x14ac:dyDescent="0.25">
      <c r="A285" s="50"/>
      <c r="B285" s="50"/>
      <c r="C285" s="50"/>
      <c r="D285" s="50"/>
      <c r="E285" s="50"/>
      <c r="F285" s="50"/>
      <c r="G285" s="50"/>
      <c r="H285" s="50"/>
      <c r="I285" s="50"/>
      <c r="J285" s="50"/>
      <c r="K285" s="50"/>
    </row>
    <row r="286" spans="1:11" x14ac:dyDescent="0.25">
      <c r="A286" s="50"/>
      <c r="B286" s="50"/>
      <c r="C286" s="50"/>
      <c r="D286" s="50"/>
      <c r="E286" s="50"/>
      <c r="F286" s="50"/>
      <c r="G286" s="50"/>
      <c r="H286" s="50"/>
      <c r="I286" s="50"/>
      <c r="J286" s="50"/>
      <c r="K286" s="50"/>
    </row>
    <row r="287" spans="1:11" x14ac:dyDescent="0.25">
      <c r="A287" s="50"/>
      <c r="B287" s="50"/>
      <c r="C287" s="50"/>
      <c r="D287" s="50"/>
      <c r="E287" s="50"/>
      <c r="F287" s="50"/>
      <c r="G287" s="50"/>
      <c r="H287" s="50"/>
      <c r="I287" s="50"/>
      <c r="J287" s="50"/>
      <c r="K287" s="50"/>
    </row>
    <row r="288" spans="1:11" x14ac:dyDescent="0.25">
      <c r="A288" s="50"/>
      <c r="B288" s="50"/>
      <c r="C288" s="50"/>
      <c r="D288" s="50"/>
      <c r="E288" s="50"/>
      <c r="F288" s="50"/>
      <c r="G288" s="50"/>
      <c r="H288" s="50"/>
      <c r="I288" s="50"/>
      <c r="J288" s="50"/>
      <c r="K288" s="50"/>
    </row>
    <row r="289" spans="1:11" x14ac:dyDescent="0.25">
      <c r="A289" s="50"/>
      <c r="B289" s="50"/>
      <c r="C289" s="50"/>
      <c r="D289" s="50"/>
      <c r="E289" s="50"/>
      <c r="F289" s="50"/>
      <c r="G289" s="50"/>
      <c r="H289" s="50"/>
      <c r="I289" s="50"/>
      <c r="J289" s="50"/>
      <c r="K289" s="50"/>
    </row>
    <row r="290" spans="1:11" x14ac:dyDescent="0.25">
      <c r="A290" s="50"/>
      <c r="B290" s="50"/>
      <c r="C290" s="50"/>
      <c r="D290" s="50"/>
      <c r="E290" s="50"/>
      <c r="F290" s="50"/>
      <c r="G290" s="50"/>
      <c r="H290" s="50"/>
      <c r="I290" s="50"/>
      <c r="J290" s="50"/>
      <c r="K290" s="50"/>
    </row>
    <row r="291" spans="1:11" x14ac:dyDescent="0.25">
      <c r="A291" s="50"/>
      <c r="B291" s="50"/>
      <c r="C291" s="50"/>
      <c r="D291" s="50"/>
      <c r="E291" s="50"/>
      <c r="F291" s="50"/>
      <c r="G291" s="50"/>
      <c r="H291" s="50"/>
      <c r="I291" s="50"/>
      <c r="J291" s="50"/>
      <c r="K291" s="50"/>
    </row>
    <row r="292" spans="1:11" x14ac:dyDescent="0.25">
      <c r="A292" s="50"/>
      <c r="B292" s="50"/>
      <c r="C292" s="50"/>
      <c r="D292" s="50"/>
      <c r="E292" s="50"/>
      <c r="F292" s="50"/>
      <c r="G292" s="50"/>
      <c r="H292" s="50"/>
      <c r="I292" s="50"/>
      <c r="J292" s="50"/>
      <c r="K292" s="50"/>
    </row>
    <row r="293" spans="1:11" x14ac:dyDescent="0.25">
      <c r="A293" s="50"/>
      <c r="B293" s="50"/>
      <c r="C293" s="50"/>
      <c r="D293" s="50"/>
      <c r="E293" s="50"/>
      <c r="F293" s="50"/>
      <c r="G293" s="50"/>
      <c r="H293" s="50"/>
      <c r="I293" s="50"/>
      <c r="J293" s="50"/>
      <c r="K293" s="50"/>
    </row>
    <row r="294" spans="1:11" x14ac:dyDescent="0.25">
      <c r="A294" s="50"/>
      <c r="B294" s="50"/>
      <c r="C294" s="50"/>
      <c r="D294" s="50"/>
      <c r="E294" s="50"/>
      <c r="F294" s="50"/>
      <c r="G294" s="50"/>
      <c r="H294" s="50"/>
      <c r="I294" s="50"/>
      <c r="J294" s="50"/>
      <c r="K294" s="50"/>
    </row>
    <row r="295" spans="1:11" x14ac:dyDescent="0.25">
      <c r="A295" s="50"/>
      <c r="B295" s="50"/>
      <c r="C295" s="50"/>
      <c r="D295" s="50"/>
      <c r="E295" s="50"/>
      <c r="F295" s="50"/>
      <c r="G295" s="50"/>
      <c r="H295" s="50"/>
      <c r="I295" s="50"/>
      <c r="J295" s="50"/>
      <c r="K295" s="50"/>
    </row>
    <row r="296" spans="1:11" x14ac:dyDescent="0.25">
      <c r="A296" s="50"/>
      <c r="B296" s="50"/>
      <c r="C296" s="50"/>
      <c r="D296" s="50"/>
      <c r="E296" s="50"/>
      <c r="F296" s="50"/>
      <c r="G296" s="50"/>
      <c r="H296" s="50"/>
      <c r="I296" s="50"/>
      <c r="J296" s="50"/>
      <c r="K296" s="50"/>
    </row>
    <row r="297" spans="1:11" x14ac:dyDescent="0.25">
      <c r="A297" s="50"/>
      <c r="B297" s="50"/>
      <c r="C297" s="50"/>
      <c r="D297" s="50"/>
      <c r="E297" s="50"/>
      <c r="F297" s="50"/>
      <c r="G297" s="50"/>
      <c r="H297" s="50"/>
      <c r="I297" s="50"/>
      <c r="J297" s="50"/>
      <c r="K297" s="50"/>
    </row>
    <row r="298" spans="1:11" x14ac:dyDescent="0.25">
      <c r="A298" s="50"/>
      <c r="B298" s="50"/>
      <c r="C298" s="50"/>
      <c r="D298" s="50"/>
      <c r="E298" s="50"/>
      <c r="F298" s="50"/>
      <c r="G298" s="50"/>
      <c r="H298" s="50"/>
      <c r="I298" s="50"/>
      <c r="J298" s="50"/>
      <c r="K298" s="50"/>
    </row>
    <row r="299" spans="1:11" x14ac:dyDescent="0.25">
      <c r="A299" s="50"/>
      <c r="B299" s="50"/>
      <c r="C299" s="50"/>
      <c r="D299" s="50"/>
      <c r="E299" s="50"/>
      <c r="F299" s="50"/>
      <c r="G299" s="50"/>
      <c r="H299" s="50"/>
      <c r="I299" s="50"/>
      <c r="J299" s="50"/>
      <c r="K299" s="50"/>
    </row>
    <row r="300" spans="1:11" x14ac:dyDescent="0.25">
      <c r="A300" s="50"/>
      <c r="B300" s="50"/>
      <c r="C300" s="50"/>
      <c r="D300" s="50"/>
      <c r="E300" s="50"/>
      <c r="F300" s="50"/>
      <c r="G300" s="50"/>
      <c r="H300" s="50"/>
      <c r="I300" s="50"/>
      <c r="J300" s="50"/>
      <c r="K300" s="50"/>
    </row>
    <row r="301" spans="1:11" x14ac:dyDescent="0.25">
      <c r="A301" s="50"/>
      <c r="B301" s="50"/>
      <c r="C301" s="50"/>
      <c r="D301" s="50"/>
      <c r="E301" s="50"/>
      <c r="F301" s="50"/>
      <c r="G301" s="50"/>
      <c r="H301" s="50"/>
      <c r="I301" s="50"/>
      <c r="J301" s="50"/>
      <c r="K301" s="50"/>
    </row>
    <row r="302" spans="1:11" x14ac:dyDescent="0.25">
      <c r="A302" s="50"/>
      <c r="B302" s="50"/>
      <c r="C302" s="50"/>
      <c r="D302" s="50"/>
      <c r="E302" s="50"/>
      <c r="F302" s="50"/>
      <c r="G302" s="50"/>
      <c r="H302" s="50"/>
      <c r="I302" s="50"/>
      <c r="J302" s="50"/>
      <c r="K302" s="50"/>
    </row>
    <row r="303" spans="1:11" x14ac:dyDescent="0.25">
      <c r="A303" s="50"/>
      <c r="B303" s="50"/>
      <c r="C303" s="50"/>
      <c r="D303" s="50"/>
      <c r="E303" s="50"/>
      <c r="F303" s="50"/>
      <c r="G303" s="50"/>
      <c r="H303" s="50"/>
      <c r="I303" s="50"/>
      <c r="J303" s="50"/>
      <c r="K303" s="50"/>
    </row>
    <row r="304" spans="1:11" x14ac:dyDescent="0.25">
      <c r="A304" s="50"/>
      <c r="B304" s="50"/>
      <c r="C304" s="50"/>
      <c r="D304" s="50"/>
      <c r="E304" s="50"/>
      <c r="F304" s="50"/>
      <c r="G304" s="50"/>
      <c r="H304" s="50"/>
      <c r="I304" s="50"/>
      <c r="J304" s="50"/>
      <c r="K304" s="50"/>
    </row>
    <row r="305" spans="1:11" x14ac:dyDescent="0.25">
      <c r="A305" s="50"/>
      <c r="B305" s="50"/>
      <c r="C305" s="50"/>
      <c r="D305" s="50"/>
      <c r="E305" s="50"/>
      <c r="F305" s="50"/>
      <c r="G305" s="50"/>
      <c r="H305" s="50"/>
      <c r="I305" s="50"/>
      <c r="J305" s="50"/>
      <c r="K305" s="50"/>
    </row>
    <row r="306" spans="1:11" x14ac:dyDescent="0.25">
      <c r="A306" s="50"/>
      <c r="B306" s="50"/>
      <c r="C306" s="50"/>
      <c r="D306" s="50"/>
      <c r="E306" s="50"/>
      <c r="F306" s="50"/>
      <c r="G306" s="50"/>
      <c r="H306" s="50"/>
      <c r="I306" s="50"/>
      <c r="J306" s="50"/>
      <c r="K306" s="50"/>
    </row>
    <row r="307" spans="1:11" x14ac:dyDescent="0.25">
      <c r="A307" s="50"/>
      <c r="B307" s="50"/>
      <c r="C307" s="50"/>
      <c r="D307" s="50"/>
      <c r="E307" s="50"/>
      <c r="F307" s="50"/>
      <c r="G307" s="50"/>
      <c r="H307" s="50"/>
      <c r="I307" s="50"/>
      <c r="J307" s="50"/>
      <c r="K307" s="50"/>
    </row>
    <row r="308" spans="1:11" x14ac:dyDescent="0.25">
      <c r="A308" s="50"/>
      <c r="B308" s="50"/>
      <c r="C308" s="50"/>
      <c r="D308" s="50"/>
      <c r="E308" s="50"/>
      <c r="F308" s="50"/>
      <c r="G308" s="50"/>
      <c r="H308" s="50"/>
      <c r="I308" s="50"/>
      <c r="J308" s="50"/>
      <c r="K308" s="50"/>
    </row>
    <row r="309" spans="1:11" x14ac:dyDescent="0.25">
      <c r="A309" s="50"/>
      <c r="B309" s="50"/>
      <c r="C309" s="50"/>
      <c r="D309" s="50"/>
      <c r="E309" s="50"/>
      <c r="F309" s="50"/>
      <c r="G309" s="50"/>
      <c r="H309" s="50"/>
      <c r="I309" s="50"/>
      <c r="J309" s="50"/>
      <c r="K309" s="50"/>
    </row>
    <row r="310" spans="1:11" x14ac:dyDescent="0.25">
      <c r="A310" s="50"/>
      <c r="B310" s="50"/>
      <c r="C310" s="50"/>
      <c r="D310" s="50"/>
      <c r="E310" s="50"/>
      <c r="F310" s="50"/>
      <c r="G310" s="50"/>
      <c r="H310" s="50"/>
      <c r="I310" s="50"/>
      <c r="J310" s="50"/>
      <c r="K310" s="50"/>
    </row>
    <row r="311" spans="1:11" x14ac:dyDescent="0.25">
      <c r="A311" s="50"/>
      <c r="B311" s="50"/>
      <c r="C311" s="50"/>
      <c r="D311" s="50"/>
      <c r="E311" s="50"/>
      <c r="F311" s="50"/>
      <c r="G311" s="50"/>
      <c r="H311" s="50"/>
      <c r="I311" s="50"/>
      <c r="J311" s="50"/>
      <c r="K311" s="50"/>
    </row>
    <row r="312" spans="1:11" x14ac:dyDescent="0.25">
      <c r="A312" s="50"/>
      <c r="B312" s="50"/>
      <c r="C312" s="50"/>
      <c r="D312" s="50"/>
      <c r="E312" s="50"/>
      <c r="F312" s="50"/>
      <c r="G312" s="50"/>
      <c r="H312" s="50"/>
      <c r="I312" s="50"/>
      <c r="J312" s="50"/>
      <c r="K312" s="50"/>
    </row>
    <row r="313" spans="1:11" x14ac:dyDescent="0.25">
      <c r="A313" s="50"/>
      <c r="B313" s="50"/>
      <c r="C313" s="50"/>
      <c r="D313" s="50"/>
      <c r="E313" s="50"/>
      <c r="F313" s="50"/>
      <c r="G313" s="50"/>
      <c r="H313" s="50"/>
      <c r="I313" s="50"/>
      <c r="J313" s="50"/>
      <c r="K313" s="50"/>
    </row>
    <row r="314" spans="1:11" x14ac:dyDescent="0.25">
      <c r="A314" s="50"/>
      <c r="B314" s="50"/>
      <c r="C314" s="50"/>
      <c r="D314" s="50"/>
      <c r="E314" s="50"/>
      <c r="F314" s="50"/>
      <c r="G314" s="50"/>
      <c r="H314" s="50"/>
      <c r="I314" s="50"/>
      <c r="J314" s="50"/>
      <c r="K314" s="50"/>
    </row>
    <row r="315" spans="1:11" x14ac:dyDescent="0.25">
      <c r="A315" s="50"/>
      <c r="B315" s="50"/>
      <c r="C315" s="50"/>
      <c r="D315" s="50"/>
      <c r="E315" s="50"/>
      <c r="F315" s="50"/>
      <c r="G315" s="50"/>
      <c r="H315" s="50"/>
      <c r="I315" s="50"/>
      <c r="J315" s="50"/>
      <c r="K315" s="50"/>
    </row>
    <row r="316" spans="1:11" x14ac:dyDescent="0.25">
      <c r="A316" s="50"/>
      <c r="B316" s="50"/>
      <c r="C316" s="50"/>
      <c r="D316" s="50"/>
      <c r="E316" s="50"/>
      <c r="F316" s="50"/>
      <c r="G316" s="50"/>
      <c r="H316" s="50"/>
      <c r="I316" s="50"/>
      <c r="J316" s="50"/>
      <c r="K316" s="50"/>
    </row>
    <row r="317" spans="1:11" x14ac:dyDescent="0.25">
      <c r="A317" s="50"/>
      <c r="B317" s="50"/>
      <c r="C317" s="50"/>
      <c r="D317" s="50"/>
      <c r="E317" s="50"/>
      <c r="F317" s="50"/>
      <c r="G317" s="50"/>
      <c r="H317" s="50"/>
      <c r="I317" s="50"/>
      <c r="J317" s="50"/>
      <c r="K317" s="50"/>
    </row>
    <row r="318" spans="1:11" x14ac:dyDescent="0.25">
      <c r="A318" s="50"/>
      <c r="B318" s="50"/>
      <c r="C318" s="50"/>
      <c r="D318" s="50"/>
      <c r="E318" s="50"/>
      <c r="F318" s="50"/>
      <c r="G318" s="50"/>
      <c r="H318" s="50"/>
      <c r="I318" s="50"/>
      <c r="J318" s="50"/>
      <c r="K318" s="50"/>
    </row>
    <row r="319" spans="1:11" x14ac:dyDescent="0.25">
      <c r="A319" s="50"/>
      <c r="B319" s="50"/>
      <c r="C319" s="50"/>
      <c r="D319" s="50"/>
      <c r="E319" s="50"/>
      <c r="F319" s="50"/>
      <c r="G319" s="50"/>
      <c r="H319" s="50"/>
      <c r="I319" s="50"/>
      <c r="J319" s="50"/>
      <c r="K319" s="50"/>
    </row>
    <row r="320" spans="1:11" x14ac:dyDescent="0.25">
      <c r="A320" s="50"/>
      <c r="B320" s="50"/>
      <c r="C320" s="50"/>
      <c r="D320" s="50"/>
      <c r="E320" s="50"/>
      <c r="F320" s="50"/>
      <c r="G320" s="50"/>
      <c r="H320" s="50"/>
      <c r="I320" s="50"/>
      <c r="J320" s="50"/>
      <c r="K320" s="50"/>
    </row>
    <row r="321" spans="1:11" x14ac:dyDescent="0.25">
      <c r="A321" s="50"/>
      <c r="B321" s="50"/>
      <c r="C321" s="50"/>
      <c r="D321" s="50"/>
      <c r="E321" s="50"/>
      <c r="F321" s="50"/>
      <c r="G321" s="50"/>
      <c r="H321" s="50"/>
      <c r="I321" s="50"/>
      <c r="J321" s="50"/>
      <c r="K321" s="50"/>
    </row>
    <row r="322" spans="1:11" x14ac:dyDescent="0.25">
      <c r="A322" s="50"/>
      <c r="B322" s="50"/>
      <c r="C322" s="50"/>
      <c r="D322" s="50"/>
      <c r="E322" s="50"/>
      <c r="F322" s="50"/>
      <c r="G322" s="50"/>
      <c r="H322" s="50"/>
      <c r="I322" s="50"/>
      <c r="J322" s="50"/>
      <c r="K322" s="50"/>
    </row>
    <row r="323" spans="1:11" x14ac:dyDescent="0.25">
      <c r="A323" s="50"/>
      <c r="B323" s="50"/>
      <c r="C323" s="50"/>
      <c r="D323" s="50"/>
      <c r="E323" s="50"/>
      <c r="F323" s="50"/>
      <c r="G323" s="50"/>
      <c r="H323" s="50"/>
      <c r="I323" s="50"/>
      <c r="J323" s="50"/>
      <c r="K323" s="50"/>
    </row>
    <row r="324" spans="1:11" x14ac:dyDescent="0.25">
      <c r="A324" s="50"/>
      <c r="B324" s="50"/>
      <c r="C324" s="50"/>
      <c r="D324" s="50"/>
      <c r="E324" s="50"/>
      <c r="F324" s="50"/>
      <c r="G324" s="50"/>
      <c r="H324" s="50"/>
      <c r="I324" s="50"/>
      <c r="J324" s="50"/>
      <c r="K324" s="50"/>
    </row>
    <row r="325" spans="1:11" x14ac:dyDescent="0.25">
      <c r="A325" s="50"/>
      <c r="B325" s="50"/>
      <c r="C325" s="50"/>
      <c r="D325" s="50"/>
      <c r="E325" s="50"/>
      <c r="F325" s="50"/>
      <c r="G325" s="50"/>
      <c r="H325" s="50"/>
      <c r="I325" s="50"/>
      <c r="J325" s="50"/>
      <c r="K325" s="50"/>
    </row>
    <row r="326" spans="1:11" x14ac:dyDescent="0.25">
      <c r="A326" s="50"/>
      <c r="B326" s="50"/>
      <c r="C326" s="50"/>
      <c r="D326" s="50"/>
      <c r="E326" s="50"/>
      <c r="F326" s="50"/>
      <c r="G326" s="50"/>
      <c r="H326" s="50"/>
      <c r="I326" s="50"/>
      <c r="J326" s="50"/>
      <c r="K326" s="50"/>
    </row>
    <row r="327" spans="1:11" x14ac:dyDescent="0.25">
      <c r="A327" s="50"/>
      <c r="B327" s="50"/>
      <c r="C327" s="50"/>
      <c r="D327" s="50"/>
      <c r="E327" s="50"/>
      <c r="F327" s="50"/>
      <c r="G327" s="50"/>
      <c r="H327" s="50"/>
      <c r="I327" s="50"/>
      <c r="J327" s="50"/>
      <c r="K327" s="50"/>
    </row>
    <row r="328" spans="1:11" x14ac:dyDescent="0.25">
      <c r="A328" s="50"/>
      <c r="B328" s="50"/>
      <c r="C328" s="50"/>
      <c r="D328" s="50"/>
      <c r="E328" s="50"/>
      <c r="F328" s="50"/>
      <c r="G328" s="50"/>
      <c r="H328" s="50"/>
      <c r="I328" s="50"/>
      <c r="J328" s="50"/>
      <c r="K328" s="50"/>
    </row>
    <row r="329" spans="1:11" x14ac:dyDescent="0.25">
      <c r="A329" s="50"/>
      <c r="B329" s="50"/>
      <c r="C329" s="50"/>
      <c r="D329" s="50"/>
      <c r="E329" s="50"/>
      <c r="F329" s="50"/>
      <c r="G329" s="50"/>
      <c r="H329" s="50"/>
      <c r="I329" s="50"/>
      <c r="J329" s="50"/>
      <c r="K329" s="50"/>
    </row>
    <row r="330" spans="1:11" x14ac:dyDescent="0.25">
      <c r="A330" s="50"/>
      <c r="B330" s="50"/>
      <c r="C330" s="50"/>
      <c r="D330" s="50"/>
      <c r="E330" s="50"/>
      <c r="F330" s="50"/>
      <c r="G330" s="50"/>
      <c r="H330" s="50"/>
      <c r="I330" s="50"/>
      <c r="J330" s="50"/>
      <c r="K330" s="50"/>
    </row>
    <row r="331" spans="1:11" x14ac:dyDescent="0.25">
      <c r="A331" s="50"/>
      <c r="B331" s="50"/>
      <c r="C331" s="50"/>
      <c r="D331" s="50"/>
      <c r="E331" s="50"/>
      <c r="F331" s="50"/>
      <c r="G331" s="50"/>
      <c r="H331" s="50"/>
      <c r="I331" s="50"/>
      <c r="J331" s="50"/>
      <c r="K331" s="50"/>
    </row>
    <row r="332" spans="1:11" x14ac:dyDescent="0.25">
      <c r="A332" s="50"/>
      <c r="B332" s="50"/>
      <c r="C332" s="50"/>
      <c r="D332" s="50"/>
      <c r="E332" s="50"/>
      <c r="F332" s="50"/>
      <c r="G332" s="50"/>
      <c r="H332" s="50"/>
      <c r="I332" s="50"/>
      <c r="J332" s="50"/>
      <c r="K332" s="50"/>
    </row>
    <row r="333" spans="1:11" x14ac:dyDescent="0.25">
      <c r="A333" s="50"/>
      <c r="B333" s="50"/>
      <c r="C333" s="50"/>
      <c r="D333" s="50"/>
      <c r="E333" s="50"/>
      <c r="F333" s="50"/>
      <c r="G333" s="50"/>
      <c r="H333" s="50"/>
      <c r="I333" s="50"/>
      <c r="J333" s="50"/>
      <c r="K333" s="50"/>
    </row>
    <row r="334" spans="1:11" x14ac:dyDescent="0.25">
      <c r="A334" s="50"/>
      <c r="B334" s="50"/>
      <c r="C334" s="50"/>
      <c r="D334" s="50"/>
      <c r="E334" s="50"/>
      <c r="F334" s="50"/>
      <c r="G334" s="50"/>
      <c r="H334" s="50"/>
      <c r="I334" s="50"/>
      <c r="J334" s="50"/>
      <c r="K334" s="50"/>
    </row>
    <row r="335" spans="1:11" x14ac:dyDescent="0.25">
      <c r="A335" s="50"/>
      <c r="B335" s="50"/>
      <c r="C335" s="50"/>
      <c r="D335" s="50"/>
      <c r="E335" s="50"/>
      <c r="F335" s="50"/>
      <c r="G335" s="50"/>
      <c r="H335" s="50"/>
      <c r="I335" s="50"/>
      <c r="J335" s="50"/>
      <c r="K335" s="50"/>
    </row>
    <row r="336" spans="1:11" x14ac:dyDescent="0.25">
      <c r="A336" s="50"/>
      <c r="B336" s="50"/>
      <c r="C336" s="50"/>
      <c r="D336" s="50"/>
      <c r="E336" s="50"/>
      <c r="F336" s="50"/>
      <c r="G336" s="50"/>
      <c r="H336" s="50"/>
      <c r="I336" s="50"/>
      <c r="J336" s="50"/>
      <c r="K336" s="50"/>
    </row>
    <row r="337" spans="1:11" x14ac:dyDescent="0.25">
      <c r="A337" s="50"/>
      <c r="B337" s="50"/>
      <c r="C337" s="50"/>
      <c r="D337" s="50"/>
      <c r="E337" s="50"/>
      <c r="F337" s="50"/>
      <c r="G337" s="50"/>
      <c r="H337" s="50"/>
      <c r="I337" s="50"/>
      <c r="J337" s="50"/>
      <c r="K337" s="50"/>
    </row>
    <row r="338" spans="1:11" x14ac:dyDescent="0.25">
      <c r="A338" s="50"/>
      <c r="B338" s="50"/>
      <c r="C338" s="50"/>
      <c r="D338" s="50"/>
      <c r="E338" s="50"/>
      <c r="F338" s="50"/>
      <c r="G338" s="50"/>
      <c r="H338" s="50"/>
      <c r="I338" s="50"/>
      <c r="J338" s="50"/>
      <c r="K338" s="50"/>
    </row>
    <row r="339" spans="1:11" x14ac:dyDescent="0.25">
      <c r="A339" s="50"/>
      <c r="B339" s="50"/>
      <c r="C339" s="50"/>
      <c r="D339" s="50"/>
      <c r="E339" s="50"/>
      <c r="F339" s="50"/>
      <c r="G339" s="50"/>
      <c r="H339" s="50"/>
      <c r="I339" s="50"/>
      <c r="J339" s="50"/>
      <c r="K339" s="50"/>
    </row>
    <row r="340" spans="1:11" x14ac:dyDescent="0.25">
      <c r="A340" s="50"/>
      <c r="B340" s="50"/>
      <c r="C340" s="50"/>
      <c r="D340" s="50"/>
      <c r="E340" s="50"/>
      <c r="F340" s="50"/>
      <c r="G340" s="50"/>
      <c r="H340" s="50"/>
      <c r="I340" s="50"/>
      <c r="J340" s="50"/>
      <c r="K340" s="50"/>
    </row>
    <row r="341" spans="1:11" x14ac:dyDescent="0.25">
      <c r="A341" s="50"/>
      <c r="B341" s="50"/>
      <c r="C341" s="50"/>
      <c r="D341" s="50"/>
      <c r="E341" s="50"/>
      <c r="F341" s="50"/>
      <c r="G341" s="50"/>
      <c r="H341" s="50"/>
      <c r="I341" s="50"/>
      <c r="J341" s="50"/>
      <c r="K341" s="50"/>
    </row>
    <row r="342" spans="1:11" x14ac:dyDescent="0.25">
      <c r="A342" s="50"/>
      <c r="B342" s="50"/>
      <c r="C342" s="50"/>
      <c r="D342" s="50"/>
      <c r="E342" s="50"/>
      <c r="F342" s="50"/>
      <c r="G342" s="50"/>
      <c r="H342" s="50"/>
      <c r="I342" s="50"/>
      <c r="J342" s="50"/>
      <c r="K342" s="50"/>
    </row>
    <row r="343" spans="1:11" x14ac:dyDescent="0.25">
      <c r="A343" s="50"/>
      <c r="B343" s="50"/>
      <c r="C343" s="50"/>
      <c r="D343" s="50"/>
      <c r="E343" s="50"/>
      <c r="F343" s="50"/>
      <c r="G343" s="50"/>
      <c r="H343" s="50"/>
      <c r="I343" s="50"/>
      <c r="J343" s="50"/>
      <c r="K343" s="50"/>
    </row>
    <row r="344" spans="1:11" x14ac:dyDescent="0.25">
      <c r="A344" s="50"/>
      <c r="B344" s="50"/>
      <c r="C344" s="50"/>
      <c r="D344" s="50"/>
      <c r="E344" s="50"/>
      <c r="F344" s="50"/>
      <c r="G344" s="50"/>
      <c r="H344" s="50"/>
      <c r="I344" s="50"/>
      <c r="J344" s="50"/>
      <c r="K344" s="50"/>
    </row>
    <row r="345" spans="1:11" x14ac:dyDescent="0.25">
      <c r="A345" s="50"/>
      <c r="B345" s="50"/>
      <c r="C345" s="50"/>
      <c r="D345" s="50"/>
      <c r="E345" s="50"/>
      <c r="F345" s="50"/>
      <c r="G345" s="50"/>
      <c r="H345" s="50"/>
      <c r="I345" s="50"/>
      <c r="J345" s="50"/>
      <c r="K345" s="50"/>
    </row>
    <row r="346" spans="1:11" x14ac:dyDescent="0.25">
      <c r="A346" s="50"/>
      <c r="B346" s="50"/>
      <c r="C346" s="50"/>
      <c r="D346" s="50"/>
      <c r="E346" s="50"/>
      <c r="F346" s="50"/>
      <c r="G346" s="50"/>
      <c r="H346" s="50"/>
      <c r="I346" s="50"/>
      <c r="J346" s="50"/>
      <c r="K346" s="50"/>
    </row>
    <row r="347" spans="1:11" x14ac:dyDescent="0.25">
      <c r="A347" s="50"/>
      <c r="B347" s="50"/>
      <c r="C347" s="50"/>
      <c r="D347" s="50"/>
      <c r="E347" s="50"/>
      <c r="F347" s="50"/>
      <c r="G347" s="50"/>
      <c r="H347" s="50"/>
      <c r="I347" s="50"/>
      <c r="J347" s="50"/>
      <c r="K347" s="50"/>
    </row>
    <row r="348" spans="1:11" x14ac:dyDescent="0.25">
      <c r="A348" s="50"/>
      <c r="B348" s="50"/>
      <c r="C348" s="50"/>
      <c r="D348" s="50"/>
      <c r="E348" s="50"/>
      <c r="F348" s="50"/>
      <c r="G348" s="50"/>
      <c r="H348" s="50"/>
      <c r="I348" s="50"/>
      <c r="J348" s="50"/>
      <c r="K348" s="50"/>
    </row>
    <row r="349" spans="1:11" x14ac:dyDescent="0.25">
      <c r="A349" s="50"/>
      <c r="B349" s="50"/>
      <c r="C349" s="50"/>
      <c r="D349" s="50"/>
      <c r="E349" s="50"/>
      <c r="F349" s="50"/>
      <c r="G349" s="50"/>
      <c r="H349" s="50"/>
      <c r="I349" s="50"/>
      <c r="J349" s="50"/>
      <c r="K349" s="50"/>
    </row>
    <row r="350" spans="1:11" x14ac:dyDescent="0.25">
      <c r="A350" s="50"/>
      <c r="B350" s="50"/>
      <c r="C350" s="50"/>
      <c r="D350" s="50"/>
      <c r="E350" s="50"/>
      <c r="F350" s="50"/>
      <c r="G350" s="50"/>
      <c r="H350" s="50"/>
      <c r="I350" s="50"/>
      <c r="J350" s="50"/>
      <c r="K350" s="50"/>
    </row>
    <row r="351" spans="1:11" x14ac:dyDescent="0.25">
      <c r="A351" s="50"/>
      <c r="B351" s="50"/>
      <c r="C351" s="50"/>
      <c r="D351" s="50"/>
      <c r="E351" s="50"/>
      <c r="F351" s="50"/>
      <c r="G351" s="50"/>
      <c r="H351" s="50"/>
      <c r="I351" s="50"/>
      <c r="J351" s="50"/>
      <c r="K351" s="50"/>
    </row>
    <row r="352" spans="1:11" x14ac:dyDescent="0.25">
      <c r="A352" s="50"/>
      <c r="B352" s="50"/>
      <c r="C352" s="50"/>
      <c r="D352" s="50"/>
      <c r="E352" s="50"/>
      <c r="F352" s="50"/>
      <c r="G352" s="50"/>
      <c r="H352" s="50"/>
      <c r="I352" s="50"/>
      <c r="J352" s="50"/>
      <c r="K352" s="50"/>
    </row>
    <row r="353" spans="1:11" x14ac:dyDescent="0.25">
      <c r="A353" s="50"/>
      <c r="B353" s="50"/>
      <c r="C353" s="50"/>
      <c r="D353" s="50"/>
      <c r="E353" s="50"/>
      <c r="F353" s="50"/>
      <c r="G353" s="50"/>
      <c r="H353" s="50"/>
      <c r="I353" s="50"/>
      <c r="J353" s="50"/>
      <c r="K353" s="50"/>
    </row>
    <row r="354" spans="1:11" x14ac:dyDescent="0.25">
      <c r="A354" s="50"/>
      <c r="B354" s="50"/>
      <c r="C354" s="50"/>
      <c r="D354" s="50"/>
      <c r="E354" s="50"/>
      <c r="F354" s="50"/>
      <c r="G354" s="50"/>
      <c r="H354" s="50"/>
      <c r="I354" s="50"/>
      <c r="J354" s="50"/>
      <c r="K354" s="50"/>
    </row>
    <row r="355" spans="1:11" x14ac:dyDescent="0.25">
      <c r="A355" s="50"/>
      <c r="B355" s="50"/>
      <c r="C355" s="50"/>
      <c r="D355" s="50"/>
      <c r="E355" s="50"/>
      <c r="F355" s="50"/>
      <c r="G355" s="50"/>
      <c r="H355" s="50"/>
      <c r="I355" s="50"/>
      <c r="J355" s="50"/>
      <c r="K355" s="50"/>
    </row>
    <row r="356" spans="1:11" x14ac:dyDescent="0.25">
      <c r="A356" s="50"/>
      <c r="B356" s="50"/>
      <c r="C356" s="50"/>
      <c r="D356" s="50"/>
      <c r="E356" s="50"/>
      <c r="F356" s="50"/>
      <c r="G356" s="50"/>
      <c r="H356" s="50"/>
      <c r="I356" s="50"/>
      <c r="J356" s="50"/>
      <c r="K356" s="50"/>
    </row>
    <row r="357" spans="1:11" x14ac:dyDescent="0.25">
      <c r="A357" s="50"/>
      <c r="B357" s="50"/>
      <c r="C357" s="50"/>
      <c r="D357" s="50"/>
      <c r="E357" s="50"/>
      <c r="F357" s="50"/>
      <c r="G357" s="50"/>
      <c r="H357" s="50"/>
      <c r="I357" s="50"/>
      <c r="J357" s="50"/>
      <c r="K357" s="50"/>
    </row>
    <row r="358" spans="1:11" x14ac:dyDescent="0.25">
      <c r="A358" s="50"/>
      <c r="B358" s="50"/>
      <c r="C358" s="50"/>
      <c r="D358" s="50"/>
      <c r="E358" s="50"/>
      <c r="F358" s="50"/>
      <c r="G358" s="50"/>
      <c r="H358" s="50"/>
      <c r="I358" s="50"/>
      <c r="J358" s="50"/>
      <c r="K358" s="50"/>
    </row>
    <row r="359" spans="1:11" x14ac:dyDescent="0.25">
      <c r="A359" s="50"/>
      <c r="B359" s="50"/>
      <c r="C359" s="50"/>
      <c r="D359" s="50"/>
      <c r="E359" s="50"/>
      <c r="F359" s="50"/>
      <c r="G359" s="50"/>
      <c r="H359" s="50"/>
      <c r="I359" s="50"/>
      <c r="J359" s="50"/>
      <c r="K359" s="50"/>
    </row>
    <row r="360" spans="1:11" x14ac:dyDescent="0.25">
      <c r="A360" s="50"/>
      <c r="B360" s="50"/>
      <c r="C360" s="50"/>
      <c r="D360" s="50"/>
      <c r="E360" s="50"/>
      <c r="F360" s="50"/>
      <c r="G360" s="50"/>
      <c r="H360" s="50"/>
      <c r="I360" s="50"/>
      <c r="J360" s="50"/>
      <c r="K360" s="50"/>
    </row>
    <row r="361" spans="1:11" x14ac:dyDescent="0.25">
      <c r="A361" s="50"/>
      <c r="B361" s="50"/>
      <c r="C361" s="50"/>
      <c r="D361" s="50"/>
      <c r="E361" s="50"/>
      <c r="F361" s="50"/>
      <c r="G361" s="50"/>
      <c r="H361" s="50"/>
      <c r="I361" s="50"/>
      <c r="J361" s="50"/>
      <c r="K361" s="50"/>
    </row>
    <row r="362" spans="1:11" x14ac:dyDescent="0.25">
      <c r="A362" s="50"/>
      <c r="B362" s="50"/>
      <c r="C362" s="50"/>
      <c r="D362" s="50"/>
      <c r="E362" s="50"/>
      <c r="F362" s="50"/>
      <c r="G362" s="50"/>
      <c r="H362" s="50"/>
      <c r="I362" s="50"/>
      <c r="J362" s="50"/>
      <c r="K362" s="50"/>
    </row>
    <row r="363" spans="1:11" x14ac:dyDescent="0.25">
      <c r="A363" s="50"/>
      <c r="B363" s="50"/>
      <c r="C363" s="50"/>
      <c r="D363" s="50"/>
      <c r="E363" s="50"/>
      <c r="F363" s="50"/>
      <c r="G363" s="50"/>
      <c r="H363" s="50"/>
      <c r="I363" s="50"/>
      <c r="J363" s="50"/>
      <c r="K363" s="50"/>
    </row>
    <row r="364" spans="1:11" x14ac:dyDescent="0.25">
      <c r="A364" s="50"/>
      <c r="B364" s="50"/>
      <c r="C364" s="50"/>
      <c r="D364" s="50"/>
      <c r="E364" s="50"/>
      <c r="F364" s="50"/>
      <c r="G364" s="50"/>
      <c r="H364" s="50"/>
      <c r="I364" s="50"/>
      <c r="J364" s="50"/>
      <c r="K364" s="50"/>
    </row>
    <row r="365" spans="1:11" x14ac:dyDescent="0.25">
      <c r="A365" s="50"/>
      <c r="B365" s="50"/>
      <c r="C365" s="50"/>
      <c r="D365" s="50"/>
      <c r="E365" s="50"/>
      <c r="F365" s="50"/>
      <c r="G365" s="50"/>
      <c r="H365" s="50"/>
      <c r="I365" s="50"/>
      <c r="J365" s="50"/>
      <c r="K365" s="50"/>
    </row>
    <row r="366" spans="1:11" x14ac:dyDescent="0.25">
      <c r="A366" s="50"/>
      <c r="B366" s="50"/>
      <c r="C366" s="50"/>
      <c r="D366" s="50"/>
      <c r="E366" s="50"/>
      <c r="F366" s="50"/>
      <c r="G366" s="50"/>
      <c r="H366" s="50"/>
      <c r="I366" s="50"/>
      <c r="J366" s="50"/>
      <c r="K366" s="50"/>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70"/>
  <sheetViews>
    <sheetView workbookViewId="0"/>
  </sheetViews>
  <sheetFormatPr defaultColWidth="8.85546875" defaultRowHeight="15" x14ac:dyDescent="0.25"/>
  <cols>
    <col min="1" max="1" width="10.28515625" bestFit="1" customWidth="1"/>
    <col min="2" max="2" width="23.7109375" customWidth="1"/>
    <col min="3" max="3" width="15.140625" customWidth="1"/>
    <col min="4" max="4" width="5" bestFit="1" customWidth="1"/>
    <col min="5" max="5" width="5.85546875" bestFit="1" customWidth="1"/>
    <col min="8" max="8" width="20.85546875" customWidth="1"/>
  </cols>
  <sheetData>
    <row r="1" spans="1:9" x14ac:dyDescent="0.25">
      <c r="A1" s="70" t="s">
        <v>26</v>
      </c>
      <c r="B1" s="38"/>
      <c r="C1" s="38"/>
      <c r="D1" s="38"/>
      <c r="E1" s="38"/>
      <c r="F1" s="38"/>
      <c r="G1" s="38"/>
      <c r="H1" s="38"/>
      <c r="I1" s="38"/>
    </row>
    <row r="2" spans="1:9" x14ac:dyDescent="0.25">
      <c r="A2" s="71" t="s">
        <v>27</v>
      </c>
      <c r="B2" s="39"/>
      <c r="C2" s="39"/>
      <c r="D2" s="39"/>
      <c r="E2" s="39"/>
      <c r="F2" s="39"/>
      <c r="G2" s="40"/>
      <c r="H2" s="39"/>
      <c r="I2" s="39"/>
    </row>
    <row r="3" spans="1:9" ht="25.5" x14ac:dyDescent="0.25">
      <c r="A3" s="38" t="s">
        <v>17</v>
      </c>
      <c r="B3" s="38" t="s">
        <v>18</v>
      </c>
      <c r="C3" s="38" t="s">
        <v>19</v>
      </c>
      <c r="D3" s="38" t="s">
        <v>20</v>
      </c>
      <c r="E3" s="38" t="s">
        <v>0</v>
      </c>
      <c r="F3" s="38" t="s">
        <v>21</v>
      </c>
      <c r="G3" s="38" t="s">
        <v>22</v>
      </c>
      <c r="H3" s="38" t="s">
        <v>23</v>
      </c>
      <c r="I3" s="38" t="s">
        <v>97</v>
      </c>
    </row>
    <row r="4" spans="1:9" ht="26.25" x14ac:dyDescent="0.25">
      <c r="A4" s="39" t="s">
        <v>98</v>
      </c>
      <c r="B4" s="39" t="s">
        <v>99</v>
      </c>
      <c r="C4" s="39" t="s">
        <v>100</v>
      </c>
      <c r="D4" s="39">
        <v>4.5</v>
      </c>
      <c r="E4" s="39" t="str">
        <f>"A"</f>
        <v>A</v>
      </c>
      <c r="F4" s="39">
        <v>18</v>
      </c>
      <c r="G4" s="40"/>
      <c r="H4" s="40"/>
      <c r="I4" s="39"/>
    </row>
    <row r="5" spans="1:9" ht="26.25" x14ac:dyDescent="0.25">
      <c r="A5" s="39" t="s">
        <v>98</v>
      </c>
      <c r="B5" s="39" t="s">
        <v>99</v>
      </c>
      <c r="C5" s="39" t="s">
        <v>100</v>
      </c>
      <c r="D5" s="39">
        <v>4.5</v>
      </c>
      <c r="E5" s="39" t="str">
        <f>"A"</f>
        <v>A</v>
      </c>
      <c r="F5" s="39">
        <v>18</v>
      </c>
      <c r="G5" s="40"/>
      <c r="H5" s="40"/>
      <c r="I5" s="39"/>
    </row>
    <row r="6" spans="1:9" ht="26.25" x14ac:dyDescent="0.25">
      <c r="A6" s="39" t="s">
        <v>101</v>
      </c>
      <c r="B6" s="39" t="s">
        <v>102</v>
      </c>
      <c r="C6" s="39" t="s">
        <v>100</v>
      </c>
      <c r="D6" s="39">
        <v>4.5</v>
      </c>
      <c r="E6" s="39" t="str">
        <f>"B"</f>
        <v>B</v>
      </c>
      <c r="F6" s="39">
        <v>13.5</v>
      </c>
      <c r="G6" s="40"/>
      <c r="H6" s="39" t="s">
        <v>103</v>
      </c>
      <c r="I6" s="39"/>
    </row>
    <row r="7" spans="1:9" ht="26.25" x14ac:dyDescent="0.25">
      <c r="A7" s="39" t="s">
        <v>104</v>
      </c>
      <c r="B7" s="39" t="s">
        <v>105</v>
      </c>
      <c r="C7" s="39" t="s">
        <v>100</v>
      </c>
      <c r="D7" s="39">
        <v>6</v>
      </c>
      <c r="E7" s="39" t="str">
        <f>"W"</f>
        <v>W</v>
      </c>
      <c r="F7" s="39"/>
      <c r="G7" s="40"/>
      <c r="H7" s="40"/>
      <c r="I7" s="39"/>
    </row>
    <row r="8" spans="1:9" x14ac:dyDescent="0.25">
      <c r="A8" s="39" t="s">
        <v>106</v>
      </c>
      <c r="B8" s="39" t="s">
        <v>107</v>
      </c>
      <c r="C8" s="39" t="s">
        <v>60</v>
      </c>
      <c r="D8" s="39">
        <v>4.5</v>
      </c>
      <c r="E8" s="39" t="str">
        <f>"RP"</f>
        <v>RP</v>
      </c>
      <c r="F8" s="39"/>
      <c r="G8" s="40"/>
      <c r="H8" s="40"/>
      <c r="I8" s="39"/>
    </row>
    <row r="9" spans="1:9" x14ac:dyDescent="0.25">
      <c r="A9" s="39" t="s">
        <v>106</v>
      </c>
      <c r="B9" s="39" t="s">
        <v>107</v>
      </c>
      <c r="C9" s="39" t="s">
        <v>60</v>
      </c>
      <c r="D9" s="39">
        <v>4.5</v>
      </c>
      <c r="E9" s="39" t="str">
        <f>"A"</f>
        <v>A</v>
      </c>
      <c r="F9" s="39">
        <v>18</v>
      </c>
      <c r="G9" s="40"/>
      <c r="H9" s="39" t="s">
        <v>31</v>
      </c>
      <c r="I9" s="39"/>
    </row>
    <row r="10" spans="1:9" ht="26.25" x14ac:dyDescent="0.25">
      <c r="A10" s="39" t="s">
        <v>56</v>
      </c>
      <c r="B10" s="39" t="s">
        <v>57</v>
      </c>
      <c r="C10" s="39" t="s">
        <v>100</v>
      </c>
      <c r="D10" s="39">
        <v>6</v>
      </c>
      <c r="E10" s="39" t="str">
        <f>"A"</f>
        <v>A</v>
      </c>
      <c r="F10" s="39">
        <v>24</v>
      </c>
      <c r="G10" s="40"/>
      <c r="H10" s="39" t="s">
        <v>108</v>
      </c>
      <c r="I10" s="39"/>
    </row>
    <row r="11" spans="1:9" ht="26.25" x14ac:dyDescent="0.25">
      <c r="A11" s="39" t="s">
        <v>56</v>
      </c>
      <c r="B11" s="39" t="s">
        <v>57</v>
      </c>
      <c r="C11" s="39" t="s">
        <v>100</v>
      </c>
      <c r="D11" s="39">
        <v>4.5</v>
      </c>
      <c r="E11" s="39" t="str">
        <f>"A"</f>
        <v>A</v>
      </c>
      <c r="F11" s="39">
        <v>18</v>
      </c>
      <c r="G11" s="40"/>
      <c r="H11" s="40"/>
      <c r="I11" s="39"/>
    </row>
    <row r="12" spans="1:9" ht="26.25" x14ac:dyDescent="0.25">
      <c r="A12" s="39" t="s">
        <v>109</v>
      </c>
      <c r="B12" s="39" t="s">
        <v>110</v>
      </c>
      <c r="C12" s="39" t="s">
        <v>100</v>
      </c>
      <c r="D12" s="39">
        <v>4.5</v>
      </c>
      <c r="E12" s="39" t="str">
        <f>"A"</f>
        <v>A</v>
      </c>
      <c r="F12" s="39">
        <v>18</v>
      </c>
      <c r="G12" s="40"/>
      <c r="H12" s="40"/>
      <c r="I12" s="39"/>
    </row>
    <row r="13" spans="1:9" ht="26.25" x14ac:dyDescent="0.25">
      <c r="A13" s="39" t="s">
        <v>109</v>
      </c>
      <c r="B13" s="39" t="s">
        <v>110</v>
      </c>
      <c r="C13" s="39" t="s">
        <v>100</v>
      </c>
      <c r="D13" s="39">
        <v>4.5</v>
      </c>
      <c r="E13" s="39" t="str">
        <f>"B"</f>
        <v>B</v>
      </c>
      <c r="F13" s="39">
        <v>13.5</v>
      </c>
      <c r="G13" s="40"/>
      <c r="H13" s="40"/>
      <c r="I13" s="39"/>
    </row>
    <row r="14" spans="1:9" ht="26.25" x14ac:dyDescent="0.25">
      <c r="A14" s="39" t="s">
        <v>111</v>
      </c>
      <c r="B14" s="39" t="s">
        <v>112</v>
      </c>
      <c r="C14" s="39" t="s">
        <v>100</v>
      </c>
      <c r="D14" s="39">
        <v>4.5</v>
      </c>
      <c r="E14" s="39" t="str">
        <f>"C"</f>
        <v>C</v>
      </c>
      <c r="F14" s="39">
        <v>9</v>
      </c>
      <c r="G14" s="40"/>
      <c r="H14" s="40"/>
      <c r="I14" s="39"/>
    </row>
    <row r="15" spans="1:9" ht="26.25" x14ac:dyDescent="0.25">
      <c r="A15" s="39" t="s">
        <v>111</v>
      </c>
      <c r="B15" s="39" t="s">
        <v>112</v>
      </c>
      <c r="C15" s="39" t="s">
        <v>100</v>
      </c>
      <c r="D15" s="39">
        <v>4.5</v>
      </c>
      <c r="E15" s="39" t="str">
        <f>"W"</f>
        <v>W</v>
      </c>
      <c r="F15" s="39"/>
      <c r="G15" s="40"/>
      <c r="H15" s="40"/>
      <c r="I15" s="39"/>
    </row>
    <row r="16" spans="1:9" ht="26.25" x14ac:dyDescent="0.25">
      <c r="A16" s="39" t="s">
        <v>113</v>
      </c>
      <c r="B16" s="39" t="s">
        <v>114</v>
      </c>
      <c r="C16" s="39" t="s">
        <v>100</v>
      </c>
      <c r="D16" s="39">
        <v>4.5</v>
      </c>
      <c r="E16" s="39" t="str">
        <f>"A"</f>
        <v>A</v>
      </c>
      <c r="F16" s="39">
        <v>18</v>
      </c>
      <c r="G16" s="40"/>
      <c r="H16" s="40"/>
      <c r="I16" s="39"/>
    </row>
    <row r="17" spans="1:9" ht="26.25" x14ac:dyDescent="0.25">
      <c r="A17" s="39" t="s">
        <v>113</v>
      </c>
      <c r="B17" s="39" t="s">
        <v>114</v>
      </c>
      <c r="C17" s="39" t="s">
        <v>100</v>
      </c>
      <c r="D17" s="39">
        <v>4.5</v>
      </c>
      <c r="E17" s="39" t="str">
        <f>"A"</f>
        <v>A</v>
      </c>
      <c r="F17" s="39">
        <v>18</v>
      </c>
      <c r="G17" s="40"/>
      <c r="H17" s="40"/>
      <c r="I17" s="39"/>
    </row>
    <row r="18" spans="1:9" ht="26.25" x14ac:dyDescent="0.25">
      <c r="A18" s="39" t="s">
        <v>113</v>
      </c>
      <c r="B18" s="39" t="s">
        <v>114</v>
      </c>
      <c r="C18" s="39" t="s">
        <v>100</v>
      </c>
      <c r="D18" s="39">
        <v>7.5</v>
      </c>
      <c r="E18" s="39" t="str">
        <f>"B"</f>
        <v>B</v>
      </c>
      <c r="F18" s="39">
        <v>22.5</v>
      </c>
      <c r="G18" s="40"/>
      <c r="H18" s="40"/>
      <c r="I18" s="39"/>
    </row>
    <row r="19" spans="1:9" ht="26.25" x14ac:dyDescent="0.25">
      <c r="A19" s="39" t="s">
        <v>62</v>
      </c>
      <c r="B19" s="39" t="s">
        <v>63</v>
      </c>
      <c r="C19" s="39" t="s">
        <v>100</v>
      </c>
      <c r="D19" s="39">
        <v>7.5</v>
      </c>
      <c r="E19" s="39" t="str">
        <f>"NT"</f>
        <v>NT</v>
      </c>
      <c r="F19" s="39"/>
      <c r="G19" s="40"/>
      <c r="H19" s="40"/>
      <c r="I19" s="39"/>
    </row>
    <row r="20" spans="1:9" ht="26.25" x14ac:dyDescent="0.25">
      <c r="A20" s="39" t="s">
        <v>62</v>
      </c>
      <c r="B20" s="39" t="s">
        <v>63</v>
      </c>
      <c r="C20" s="39" t="s">
        <v>100</v>
      </c>
      <c r="D20" s="39">
        <v>4.5</v>
      </c>
      <c r="E20" s="39" t="str">
        <f>"NT"</f>
        <v>NT</v>
      </c>
      <c r="F20" s="39"/>
      <c r="G20" s="40"/>
      <c r="H20" s="40"/>
      <c r="I20" s="39"/>
    </row>
    <row r="21" spans="1:9" ht="26.25" x14ac:dyDescent="0.25">
      <c r="A21" s="39" t="s">
        <v>62</v>
      </c>
      <c r="B21" s="39" t="s">
        <v>63</v>
      </c>
      <c r="C21" s="39" t="s">
        <v>100</v>
      </c>
      <c r="D21" s="39">
        <v>6</v>
      </c>
      <c r="E21" s="39" t="str">
        <f>"NT"</f>
        <v>NT</v>
      </c>
      <c r="F21" s="39"/>
      <c r="G21" s="40"/>
      <c r="H21" s="40"/>
      <c r="I21" s="39"/>
    </row>
    <row r="22" spans="1:9" ht="26.25" x14ac:dyDescent="0.25">
      <c r="A22" s="39" t="s">
        <v>62</v>
      </c>
      <c r="B22" s="39" t="s">
        <v>63</v>
      </c>
      <c r="C22" s="39" t="s">
        <v>100</v>
      </c>
      <c r="D22" s="39">
        <v>6</v>
      </c>
      <c r="E22" s="39" t="str">
        <f>"NT"</f>
        <v>NT</v>
      </c>
      <c r="F22" s="39"/>
      <c r="G22" s="40"/>
      <c r="H22" s="40"/>
      <c r="I22" s="39"/>
    </row>
    <row r="23" spans="1:9" x14ac:dyDescent="0.25">
      <c r="A23" s="39" t="s">
        <v>115</v>
      </c>
      <c r="B23" s="39" t="s">
        <v>116</v>
      </c>
      <c r="C23" s="39" t="s">
        <v>60</v>
      </c>
      <c r="D23" s="39">
        <v>4</v>
      </c>
      <c r="E23" s="39" t="str">
        <f>"CR"</f>
        <v>CR</v>
      </c>
      <c r="F23" s="39"/>
      <c r="G23" s="40"/>
      <c r="H23" s="40"/>
      <c r="I23" s="39"/>
    </row>
    <row r="24" spans="1:9" ht="26.25" x14ac:dyDescent="0.25">
      <c r="A24" s="39" t="s">
        <v>66</v>
      </c>
      <c r="B24" s="39" t="s">
        <v>67</v>
      </c>
      <c r="C24" s="39" t="s">
        <v>100</v>
      </c>
      <c r="D24" s="39">
        <v>4.5</v>
      </c>
      <c r="E24" s="39" t="str">
        <f>"A"</f>
        <v>A</v>
      </c>
      <c r="F24" s="39">
        <v>18</v>
      </c>
      <c r="G24" s="40"/>
      <c r="H24" s="39" t="s">
        <v>68</v>
      </c>
      <c r="I24" s="39"/>
    </row>
    <row r="25" spans="1:9" ht="26.25" x14ac:dyDescent="0.25">
      <c r="A25" s="39" t="s">
        <v>66</v>
      </c>
      <c r="B25" s="39" t="s">
        <v>67</v>
      </c>
      <c r="C25" s="39" t="s">
        <v>100</v>
      </c>
      <c r="D25" s="39">
        <v>4.5</v>
      </c>
      <c r="E25" s="39" t="str">
        <f>"A"</f>
        <v>A</v>
      </c>
      <c r="F25" s="39">
        <v>18</v>
      </c>
      <c r="G25" s="40"/>
      <c r="H25" s="39" t="s">
        <v>64</v>
      </c>
      <c r="I25" s="39"/>
    </row>
    <row r="26" spans="1:9" ht="26.25" x14ac:dyDescent="0.25">
      <c r="A26" s="39" t="s">
        <v>66</v>
      </c>
      <c r="B26" s="39" t="s">
        <v>67</v>
      </c>
      <c r="C26" s="39" t="s">
        <v>100</v>
      </c>
      <c r="D26" s="39">
        <v>4.5</v>
      </c>
      <c r="E26" s="39" t="str">
        <f>"A"</f>
        <v>A</v>
      </c>
      <c r="F26" s="39">
        <v>18</v>
      </c>
      <c r="G26" s="40"/>
      <c r="H26" s="40"/>
      <c r="I26" s="39"/>
    </row>
    <row r="27" spans="1:9" ht="26.25" x14ac:dyDescent="0.25">
      <c r="A27" s="39" t="s">
        <v>66</v>
      </c>
      <c r="B27" s="39" t="s">
        <v>67</v>
      </c>
      <c r="C27" s="39" t="s">
        <v>100</v>
      </c>
      <c r="D27" s="39">
        <v>4.5</v>
      </c>
      <c r="E27" s="39" t="str">
        <f>"W"</f>
        <v>W</v>
      </c>
      <c r="F27" s="39"/>
      <c r="G27" s="40"/>
      <c r="H27" s="40"/>
      <c r="I27" s="39"/>
    </row>
    <row r="28" spans="1:9" x14ac:dyDescent="0.25">
      <c r="A28" s="39" t="s">
        <v>117</v>
      </c>
      <c r="B28" s="39" t="s">
        <v>118</v>
      </c>
      <c r="C28" s="39" t="s">
        <v>60</v>
      </c>
      <c r="D28" s="39">
        <v>4.5</v>
      </c>
      <c r="E28" s="39" t="str">
        <f t="shared" ref="E28:E35" si="0">"A"</f>
        <v>A</v>
      </c>
      <c r="F28" s="39">
        <v>18</v>
      </c>
      <c r="G28" s="40"/>
      <c r="H28" s="39" t="s">
        <v>119</v>
      </c>
      <c r="I28" s="39"/>
    </row>
    <row r="29" spans="1:9" ht="26.25" x14ac:dyDescent="0.25">
      <c r="A29" s="39" t="s">
        <v>120</v>
      </c>
      <c r="B29" s="39" t="s">
        <v>121</v>
      </c>
      <c r="C29" s="39" t="s">
        <v>100</v>
      </c>
      <c r="D29" s="39">
        <v>4</v>
      </c>
      <c r="E29" s="39" t="str">
        <f t="shared" si="0"/>
        <v>A</v>
      </c>
      <c r="F29" s="39">
        <v>16</v>
      </c>
      <c r="G29" s="40"/>
      <c r="H29" s="39" t="s">
        <v>85</v>
      </c>
      <c r="I29" s="39"/>
    </row>
    <row r="30" spans="1:9" ht="26.25" x14ac:dyDescent="0.25">
      <c r="A30" s="39" t="s">
        <v>122</v>
      </c>
      <c r="B30" s="39" t="s">
        <v>123</v>
      </c>
      <c r="C30" s="39" t="s">
        <v>29</v>
      </c>
      <c r="D30" s="39">
        <v>4</v>
      </c>
      <c r="E30" s="39" t="str">
        <f t="shared" si="0"/>
        <v>A</v>
      </c>
      <c r="F30" s="39">
        <v>16</v>
      </c>
      <c r="G30" s="40"/>
      <c r="H30" s="40"/>
      <c r="I30" s="39"/>
    </row>
    <row r="31" spans="1:9" ht="26.25" x14ac:dyDescent="0.25">
      <c r="A31" s="39" t="s">
        <v>124</v>
      </c>
      <c r="B31" s="39" t="s">
        <v>125</v>
      </c>
      <c r="C31" s="39" t="s">
        <v>126</v>
      </c>
      <c r="D31" s="39">
        <v>4</v>
      </c>
      <c r="E31" s="39" t="str">
        <f t="shared" si="0"/>
        <v>A</v>
      </c>
      <c r="F31" s="39">
        <v>16</v>
      </c>
      <c r="G31" s="40"/>
      <c r="H31" s="40"/>
      <c r="I31" s="39"/>
    </row>
    <row r="32" spans="1:9" ht="26.25" x14ac:dyDescent="0.25">
      <c r="A32" s="39" t="s">
        <v>70</v>
      </c>
      <c r="B32" s="39" t="s">
        <v>71</v>
      </c>
      <c r="C32" s="39" t="s">
        <v>72</v>
      </c>
      <c r="D32" s="39">
        <v>4</v>
      </c>
      <c r="E32" s="39" t="str">
        <f t="shared" si="0"/>
        <v>A</v>
      </c>
      <c r="F32" s="39">
        <v>16</v>
      </c>
      <c r="G32" s="40"/>
      <c r="H32" s="40"/>
      <c r="I32" s="39"/>
    </row>
    <row r="33" spans="1:9" ht="26.25" x14ac:dyDescent="0.25">
      <c r="A33" s="39" t="s">
        <v>127</v>
      </c>
      <c r="B33" s="39" t="s">
        <v>128</v>
      </c>
      <c r="C33" s="39" t="s">
        <v>29</v>
      </c>
      <c r="D33" s="39">
        <v>4</v>
      </c>
      <c r="E33" s="39" t="str">
        <f t="shared" si="0"/>
        <v>A</v>
      </c>
      <c r="F33" s="39">
        <v>16</v>
      </c>
      <c r="G33" s="40"/>
      <c r="H33" s="40"/>
      <c r="I33" s="39"/>
    </row>
    <row r="34" spans="1:9" ht="26.25" x14ac:dyDescent="0.25">
      <c r="A34" s="39" t="s">
        <v>129</v>
      </c>
      <c r="B34" s="39" t="s">
        <v>130</v>
      </c>
      <c r="C34" s="39" t="s">
        <v>126</v>
      </c>
      <c r="D34" s="39">
        <v>4</v>
      </c>
      <c r="E34" s="39" t="str">
        <f t="shared" si="0"/>
        <v>A</v>
      </c>
      <c r="F34" s="39">
        <v>16</v>
      </c>
      <c r="G34" s="40"/>
      <c r="H34" s="40"/>
      <c r="I34" s="39"/>
    </row>
    <row r="35" spans="1:9" ht="26.25" x14ac:dyDescent="0.25">
      <c r="A35" s="39" t="s">
        <v>131</v>
      </c>
      <c r="B35" s="39" t="s">
        <v>132</v>
      </c>
      <c r="C35" s="39" t="s">
        <v>72</v>
      </c>
      <c r="D35" s="39">
        <v>4</v>
      </c>
      <c r="E35" s="39" t="str">
        <f t="shared" si="0"/>
        <v>A</v>
      </c>
      <c r="F35" s="39">
        <v>16</v>
      </c>
      <c r="G35" s="40"/>
      <c r="H35" s="40"/>
      <c r="I35" s="39"/>
    </row>
    <row r="36" spans="1:9" x14ac:dyDescent="0.25">
      <c r="A36" s="39" t="s">
        <v>133</v>
      </c>
      <c r="B36" s="39" t="s">
        <v>134</v>
      </c>
      <c r="C36" s="39" t="s">
        <v>29</v>
      </c>
      <c r="D36" s="39">
        <v>4</v>
      </c>
      <c r="E36" s="39" t="str">
        <f>"A-"</f>
        <v>A-</v>
      </c>
      <c r="F36" s="39">
        <v>14.8</v>
      </c>
      <c r="G36" s="40"/>
      <c r="H36" s="40"/>
      <c r="I36" s="39"/>
    </row>
    <row r="37" spans="1:9" ht="26.25" x14ac:dyDescent="0.25">
      <c r="A37" s="39" t="s">
        <v>135</v>
      </c>
      <c r="B37" s="39" t="s">
        <v>136</v>
      </c>
      <c r="C37" s="39" t="s">
        <v>126</v>
      </c>
      <c r="D37" s="39">
        <v>4</v>
      </c>
      <c r="E37" s="39" t="str">
        <f>"A"</f>
        <v>A</v>
      </c>
      <c r="F37" s="39">
        <v>16</v>
      </c>
      <c r="G37" s="40"/>
      <c r="H37" s="40"/>
      <c r="I37" s="39"/>
    </row>
    <row r="38" spans="1:9" ht="26.25" x14ac:dyDescent="0.25">
      <c r="A38" s="39" t="s">
        <v>137</v>
      </c>
      <c r="B38" s="39" t="s">
        <v>138</v>
      </c>
      <c r="C38" s="39" t="s">
        <v>72</v>
      </c>
      <c r="D38" s="39">
        <v>4</v>
      </c>
      <c r="E38" s="39" t="str">
        <f>"A"</f>
        <v>A</v>
      </c>
      <c r="F38" s="39">
        <v>16</v>
      </c>
      <c r="G38" s="40"/>
      <c r="H38" s="40"/>
      <c r="I38" s="39"/>
    </row>
    <row r="39" spans="1:9" ht="26.25" x14ac:dyDescent="0.25">
      <c r="A39" s="39" t="s">
        <v>139</v>
      </c>
      <c r="B39" s="39" t="s">
        <v>140</v>
      </c>
      <c r="C39" s="39" t="s">
        <v>29</v>
      </c>
      <c r="D39" s="39">
        <v>4</v>
      </c>
      <c r="E39" s="39" t="str">
        <f>"A"</f>
        <v>A</v>
      </c>
      <c r="F39" s="39">
        <v>16</v>
      </c>
      <c r="G39" s="40"/>
      <c r="H39" s="40"/>
      <c r="I39" s="39"/>
    </row>
    <row r="40" spans="1:9" ht="26.25" x14ac:dyDescent="0.25">
      <c r="A40" s="39" t="s">
        <v>73</v>
      </c>
      <c r="B40" s="39" t="s">
        <v>74</v>
      </c>
      <c r="C40" s="39" t="s">
        <v>60</v>
      </c>
      <c r="D40" s="39">
        <v>4</v>
      </c>
      <c r="E40" s="39" t="str">
        <f>"A"</f>
        <v>A</v>
      </c>
      <c r="F40" s="39">
        <v>16</v>
      </c>
      <c r="G40" s="40"/>
      <c r="H40" s="40"/>
      <c r="I40" s="39"/>
    </row>
    <row r="41" spans="1:9" ht="26.25" x14ac:dyDescent="0.25">
      <c r="A41" s="39" t="s">
        <v>75</v>
      </c>
      <c r="B41" s="39" t="s">
        <v>76</v>
      </c>
      <c r="C41" s="39" t="s">
        <v>126</v>
      </c>
      <c r="D41" s="39">
        <v>4</v>
      </c>
      <c r="E41" s="39" t="str">
        <f>"A"</f>
        <v>A</v>
      </c>
      <c r="F41" s="39">
        <v>16</v>
      </c>
      <c r="G41" s="40"/>
      <c r="H41" s="40"/>
      <c r="I41" s="39"/>
    </row>
    <row r="42" spans="1:9" ht="26.25" x14ac:dyDescent="0.25">
      <c r="A42" s="39" t="s">
        <v>141</v>
      </c>
      <c r="B42" s="39" t="s">
        <v>142</v>
      </c>
      <c r="C42" s="39" t="s">
        <v>55</v>
      </c>
      <c r="D42" s="39">
        <v>4</v>
      </c>
      <c r="E42" s="39" t="str">
        <f>"B+"</f>
        <v>B+</v>
      </c>
      <c r="F42" s="39">
        <v>13.2</v>
      </c>
      <c r="G42" s="40"/>
      <c r="H42" s="39" t="s">
        <v>69</v>
      </c>
      <c r="I42" s="39"/>
    </row>
    <row r="43" spans="1:9" x14ac:dyDescent="0.25">
      <c r="A43" s="39" t="s">
        <v>143</v>
      </c>
      <c r="B43" s="39" t="s">
        <v>144</v>
      </c>
      <c r="C43" s="39" t="s">
        <v>60</v>
      </c>
      <c r="D43" s="39">
        <v>4</v>
      </c>
      <c r="E43" s="39" t="str">
        <f>"A"</f>
        <v>A</v>
      </c>
      <c r="F43" s="39">
        <v>16</v>
      </c>
      <c r="G43" s="40"/>
      <c r="H43" s="40"/>
      <c r="I43" s="39"/>
    </row>
    <row r="44" spans="1:9" ht="26.25" x14ac:dyDescent="0.25">
      <c r="A44" s="39" t="s">
        <v>145</v>
      </c>
      <c r="B44" s="39" t="s">
        <v>146</v>
      </c>
      <c r="C44" s="39" t="s">
        <v>59</v>
      </c>
      <c r="D44" s="39">
        <v>4</v>
      </c>
      <c r="E44" s="39" t="str">
        <f>"A"</f>
        <v>A</v>
      </c>
      <c r="F44" s="39">
        <v>16</v>
      </c>
      <c r="G44" s="40"/>
      <c r="H44" s="40"/>
      <c r="I44" s="39"/>
    </row>
    <row r="45" spans="1:9" ht="26.25" x14ac:dyDescent="0.25">
      <c r="A45" s="39" t="s">
        <v>77</v>
      </c>
      <c r="B45" s="39" t="s">
        <v>78</v>
      </c>
      <c r="C45" s="39" t="s">
        <v>100</v>
      </c>
      <c r="D45" s="39">
        <v>4.5</v>
      </c>
      <c r="E45" s="39" t="str">
        <f>"A"</f>
        <v>A</v>
      </c>
      <c r="F45" s="39">
        <v>18</v>
      </c>
      <c r="G45" s="40"/>
      <c r="H45" s="39" t="s">
        <v>79</v>
      </c>
      <c r="I45" s="39"/>
    </row>
    <row r="46" spans="1:9" ht="26.25" x14ac:dyDescent="0.25">
      <c r="A46" s="39" t="s">
        <v>147</v>
      </c>
      <c r="B46" s="39" t="s">
        <v>148</v>
      </c>
      <c r="C46" s="39" t="s">
        <v>100</v>
      </c>
      <c r="D46" s="39">
        <v>4.5</v>
      </c>
      <c r="E46" s="39" t="str">
        <f>"C"</f>
        <v>C</v>
      </c>
      <c r="F46" s="39">
        <v>9</v>
      </c>
      <c r="G46" s="40"/>
      <c r="H46" s="40"/>
      <c r="I46" s="39"/>
    </row>
    <row r="47" spans="1:9" ht="26.25" x14ac:dyDescent="0.25">
      <c r="A47" s="39" t="s">
        <v>147</v>
      </c>
      <c r="B47" s="39" t="s">
        <v>148</v>
      </c>
      <c r="C47" s="39" t="s">
        <v>100</v>
      </c>
      <c r="D47" s="39">
        <v>4.5</v>
      </c>
      <c r="E47" s="39" t="str">
        <f>"A"</f>
        <v>A</v>
      </c>
      <c r="F47" s="39">
        <v>18</v>
      </c>
      <c r="G47" s="40"/>
      <c r="H47" s="39" t="s">
        <v>79</v>
      </c>
      <c r="I47" s="39"/>
    </row>
    <row r="48" spans="1:9" ht="26.25" x14ac:dyDescent="0.25">
      <c r="A48" s="39" t="s">
        <v>149</v>
      </c>
      <c r="B48" s="39" t="s">
        <v>150</v>
      </c>
      <c r="C48" s="39" t="s">
        <v>100</v>
      </c>
      <c r="D48" s="39">
        <v>4</v>
      </c>
      <c r="E48" s="39" t="str">
        <f>"A-"</f>
        <v>A-</v>
      </c>
      <c r="F48" s="39">
        <v>14.8</v>
      </c>
      <c r="G48" s="40"/>
      <c r="H48" s="39" t="s">
        <v>61</v>
      </c>
      <c r="I48" s="39"/>
    </row>
    <row r="49" spans="1:9" ht="26.25" x14ac:dyDescent="0.25">
      <c r="A49" s="39" t="s">
        <v>80</v>
      </c>
      <c r="B49" s="39" t="s">
        <v>81</v>
      </c>
      <c r="C49" s="39" t="s">
        <v>100</v>
      </c>
      <c r="D49" s="39">
        <v>4.5</v>
      </c>
      <c r="E49" s="39" t="str">
        <f>"B"</f>
        <v>B</v>
      </c>
      <c r="F49" s="39">
        <v>13.5</v>
      </c>
      <c r="G49" s="40"/>
      <c r="H49" s="39" t="s">
        <v>151</v>
      </c>
      <c r="I49" s="39"/>
    </row>
    <row r="50" spans="1:9" ht="26.25" x14ac:dyDescent="0.25">
      <c r="A50" s="39" t="s">
        <v>80</v>
      </c>
      <c r="B50" s="39" t="s">
        <v>81</v>
      </c>
      <c r="C50" s="39" t="s">
        <v>100</v>
      </c>
      <c r="D50" s="39">
        <v>0</v>
      </c>
      <c r="E50" s="39" t="str">
        <f>"300"</f>
        <v>300</v>
      </c>
      <c r="F50" s="40"/>
      <c r="G50" s="40"/>
      <c r="H50" s="39" t="s">
        <v>91</v>
      </c>
      <c r="I50" s="39"/>
    </row>
    <row r="51" spans="1:9" x14ac:dyDescent="0.25">
      <c r="A51" s="39" t="s">
        <v>80</v>
      </c>
      <c r="B51" s="39" t="s">
        <v>81</v>
      </c>
      <c r="C51" s="39" t="s">
        <v>60</v>
      </c>
      <c r="D51" s="39">
        <v>4.5</v>
      </c>
      <c r="E51" s="39" t="str">
        <f>"400"</f>
        <v>400</v>
      </c>
      <c r="F51" s="39">
        <v>18</v>
      </c>
      <c r="G51" s="40"/>
      <c r="H51" s="39" t="s">
        <v>152</v>
      </c>
      <c r="I51" s="39"/>
    </row>
    <row r="52" spans="1:9" ht="26.25" x14ac:dyDescent="0.25">
      <c r="A52" s="39" t="s">
        <v>153</v>
      </c>
      <c r="B52" s="39" t="s">
        <v>154</v>
      </c>
      <c r="C52" s="39" t="s">
        <v>100</v>
      </c>
      <c r="D52" s="39">
        <v>4.5</v>
      </c>
      <c r="E52" s="39" t="str">
        <f>"A"</f>
        <v>A</v>
      </c>
      <c r="F52" s="39">
        <v>18</v>
      </c>
      <c r="G52" s="40"/>
      <c r="H52" s="40"/>
      <c r="I52" s="39"/>
    </row>
    <row r="53" spans="1:9" ht="26.25" x14ac:dyDescent="0.25">
      <c r="A53" s="39" t="s">
        <v>153</v>
      </c>
      <c r="B53" s="39" t="s">
        <v>154</v>
      </c>
      <c r="C53" s="39" t="s">
        <v>100</v>
      </c>
      <c r="D53" s="39">
        <v>4.5</v>
      </c>
      <c r="E53" s="39" t="str">
        <f>"A"</f>
        <v>A</v>
      </c>
      <c r="F53" s="39">
        <v>18</v>
      </c>
      <c r="G53" s="40"/>
      <c r="H53" s="39" t="s">
        <v>65</v>
      </c>
      <c r="I53" s="39"/>
    </row>
    <row r="54" spans="1:9" ht="26.25" x14ac:dyDescent="0.25">
      <c r="A54" s="39" t="s">
        <v>155</v>
      </c>
      <c r="B54" s="39" t="s">
        <v>156</v>
      </c>
      <c r="C54" s="39" t="s">
        <v>100</v>
      </c>
      <c r="D54" s="39">
        <v>1.5</v>
      </c>
      <c r="E54" s="39" t="str">
        <f>"A"</f>
        <v>A</v>
      </c>
      <c r="F54" s="39">
        <v>6</v>
      </c>
      <c r="G54" s="40"/>
      <c r="H54" s="40"/>
      <c r="I54" s="39"/>
    </row>
    <row r="55" spans="1:9" ht="26.25" x14ac:dyDescent="0.25">
      <c r="A55" s="39" t="s">
        <v>155</v>
      </c>
      <c r="B55" s="39" t="s">
        <v>156</v>
      </c>
      <c r="C55" s="39" t="s">
        <v>100</v>
      </c>
      <c r="D55" s="39">
        <v>4.5</v>
      </c>
      <c r="E55" s="39" t="str">
        <f>"A"</f>
        <v>A</v>
      </c>
      <c r="F55" s="39">
        <v>18</v>
      </c>
      <c r="G55" s="40"/>
      <c r="H55" s="40"/>
      <c r="I55" s="39"/>
    </row>
    <row r="56" spans="1:9" ht="26.25" x14ac:dyDescent="0.25">
      <c r="A56" s="39" t="s">
        <v>157</v>
      </c>
      <c r="B56" s="39" t="s">
        <v>158</v>
      </c>
      <c r="C56" s="39" t="s">
        <v>100</v>
      </c>
      <c r="D56" s="39">
        <v>4.5</v>
      </c>
      <c r="E56" s="39" t="str">
        <f>"B"</f>
        <v>B</v>
      </c>
      <c r="F56" s="39">
        <v>13.5</v>
      </c>
      <c r="G56" s="40"/>
      <c r="H56" s="39" t="s">
        <v>82</v>
      </c>
      <c r="I56" s="39"/>
    </row>
    <row r="57" spans="1:9" ht="26.25" x14ac:dyDescent="0.25">
      <c r="A57" s="39" t="s">
        <v>157</v>
      </c>
      <c r="B57" s="39" t="s">
        <v>158</v>
      </c>
      <c r="C57" s="39" t="s">
        <v>100</v>
      </c>
      <c r="D57" s="39">
        <v>4.5</v>
      </c>
      <c r="E57" s="39" t="str">
        <f>"B"</f>
        <v>B</v>
      </c>
      <c r="F57" s="39">
        <v>13.5</v>
      </c>
      <c r="G57" s="40"/>
      <c r="H57" s="39" t="s">
        <v>82</v>
      </c>
      <c r="I57" s="39"/>
    </row>
    <row r="58" spans="1:9" ht="26.25" x14ac:dyDescent="0.25">
      <c r="A58" s="39" t="s">
        <v>157</v>
      </c>
      <c r="B58" s="39" t="s">
        <v>158</v>
      </c>
      <c r="C58" s="39" t="s">
        <v>100</v>
      </c>
      <c r="D58" s="39">
        <v>4.5</v>
      </c>
      <c r="E58" s="39" t="str">
        <f>"W"</f>
        <v>W</v>
      </c>
      <c r="F58" s="39"/>
      <c r="G58" s="40"/>
      <c r="H58" s="40"/>
      <c r="I58" s="39"/>
    </row>
    <row r="59" spans="1:9" ht="26.25" x14ac:dyDescent="0.25">
      <c r="A59" s="39" t="s">
        <v>83</v>
      </c>
      <c r="B59" s="39" t="s">
        <v>84</v>
      </c>
      <c r="C59" s="39" t="s">
        <v>100</v>
      </c>
      <c r="D59" s="39">
        <v>4.5</v>
      </c>
      <c r="E59" s="39" t="str">
        <f>"B"</f>
        <v>B</v>
      </c>
      <c r="F59" s="39">
        <v>13.5</v>
      </c>
      <c r="G59" s="40"/>
      <c r="H59" s="39" t="s">
        <v>58</v>
      </c>
      <c r="I59" s="39"/>
    </row>
    <row r="60" spans="1:9" ht="26.25" x14ac:dyDescent="0.25">
      <c r="A60" s="39" t="s">
        <v>86</v>
      </c>
      <c r="B60" s="39" t="s">
        <v>87</v>
      </c>
      <c r="C60" s="39" t="s">
        <v>100</v>
      </c>
      <c r="D60" s="39">
        <v>4.5</v>
      </c>
      <c r="E60" s="39" t="str">
        <f>"B"</f>
        <v>B</v>
      </c>
      <c r="F60" s="39">
        <v>13.5</v>
      </c>
      <c r="G60" s="40"/>
      <c r="H60" s="39" t="s">
        <v>88</v>
      </c>
      <c r="I60" s="39"/>
    </row>
    <row r="61" spans="1:9" x14ac:dyDescent="0.25">
      <c r="A61" s="39" t="s">
        <v>89</v>
      </c>
      <c r="B61" s="39" t="s">
        <v>90</v>
      </c>
      <c r="C61" s="39" t="s">
        <v>60</v>
      </c>
      <c r="D61" s="39">
        <v>0</v>
      </c>
      <c r="E61" s="39" t="str">
        <f>"400"</f>
        <v>400</v>
      </c>
      <c r="F61" s="40"/>
      <c r="G61" s="40"/>
      <c r="H61" s="39" t="s">
        <v>91</v>
      </c>
      <c r="I61" s="39"/>
    </row>
    <row r="62" spans="1:9" ht="26.25" x14ac:dyDescent="0.25">
      <c r="A62" s="39" t="s">
        <v>92</v>
      </c>
      <c r="B62" s="39" t="s">
        <v>93</v>
      </c>
      <c r="C62" s="39" t="s">
        <v>100</v>
      </c>
      <c r="D62" s="39">
        <v>4.5</v>
      </c>
      <c r="E62" s="39" t="str">
        <f>"A"</f>
        <v>A</v>
      </c>
      <c r="F62" s="39">
        <v>18</v>
      </c>
      <c r="G62" s="40"/>
      <c r="H62" s="39" t="s">
        <v>88</v>
      </c>
      <c r="I62" s="39"/>
    </row>
    <row r="63" spans="1:9" ht="26.25" x14ac:dyDescent="0.25">
      <c r="A63" s="39" t="s">
        <v>94</v>
      </c>
      <c r="B63" s="39" t="s">
        <v>95</v>
      </c>
      <c r="C63" s="39" t="s">
        <v>55</v>
      </c>
      <c r="D63" s="39">
        <v>4</v>
      </c>
      <c r="E63" s="39" t="str">
        <f>"A"</f>
        <v>A</v>
      </c>
      <c r="F63" s="39">
        <v>16</v>
      </c>
      <c r="G63" s="40"/>
      <c r="H63" s="39" t="s">
        <v>96</v>
      </c>
      <c r="I63" s="39"/>
    </row>
    <row r="64" spans="1:9" ht="26.25" x14ac:dyDescent="0.25">
      <c r="A64" s="39" t="s">
        <v>159</v>
      </c>
      <c r="B64" s="39" t="s">
        <v>160</v>
      </c>
      <c r="C64" s="39" t="s">
        <v>100</v>
      </c>
      <c r="D64" s="39">
        <v>4.5</v>
      </c>
      <c r="E64" s="39" t="str">
        <f>"B"</f>
        <v>B</v>
      </c>
      <c r="F64" s="39">
        <v>13.5</v>
      </c>
      <c r="G64" s="40"/>
      <c r="H64" s="39" t="s">
        <v>161</v>
      </c>
      <c r="I64" s="39"/>
    </row>
    <row r="65" spans="1:9" ht="26.25" x14ac:dyDescent="0.25">
      <c r="A65" s="39" t="s">
        <v>162</v>
      </c>
      <c r="B65" s="39" t="s">
        <v>163</v>
      </c>
      <c r="C65" s="39" t="s">
        <v>100</v>
      </c>
      <c r="D65" s="39">
        <v>4.5</v>
      </c>
      <c r="E65" s="39" t="str">
        <f>"B"</f>
        <v>B</v>
      </c>
      <c r="F65" s="39">
        <v>13.5</v>
      </c>
      <c r="G65" s="40"/>
      <c r="H65" s="39" t="s">
        <v>65</v>
      </c>
      <c r="I65" s="39"/>
    </row>
    <row r="66" spans="1:9" ht="26.25" x14ac:dyDescent="0.25">
      <c r="A66" s="39" t="s">
        <v>162</v>
      </c>
      <c r="B66" s="39" t="s">
        <v>163</v>
      </c>
      <c r="C66" s="39" t="s">
        <v>100</v>
      </c>
      <c r="D66" s="39">
        <v>4.5</v>
      </c>
      <c r="E66" s="39" t="str">
        <f>"A"</f>
        <v>A</v>
      </c>
      <c r="F66" s="39">
        <v>18</v>
      </c>
      <c r="G66" s="40"/>
      <c r="H66" s="39" t="s">
        <v>164</v>
      </c>
      <c r="I66" s="39"/>
    </row>
    <row r="67" spans="1:9" ht="26.25" x14ac:dyDescent="0.25">
      <c r="A67" s="39" t="s">
        <v>162</v>
      </c>
      <c r="B67" s="39" t="s">
        <v>163</v>
      </c>
      <c r="C67" s="39" t="s">
        <v>100</v>
      </c>
      <c r="D67" s="39">
        <v>4.5</v>
      </c>
      <c r="E67" s="39" t="str">
        <f>"B"</f>
        <v>B</v>
      </c>
      <c r="F67" s="39">
        <v>13.5</v>
      </c>
      <c r="G67" s="40"/>
      <c r="H67" s="40"/>
      <c r="I67" s="39"/>
    </row>
    <row r="68" spans="1:9" ht="26.25" x14ac:dyDescent="0.25">
      <c r="A68" s="39" t="s">
        <v>165</v>
      </c>
      <c r="B68" s="39" t="s">
        <v>166</v>
      </c>
      <c r="C68" s="39" t="s">
        <v>100</v>
      </c>
      <c r="D68" s="39">
        <v>4.5</v>
      </c>
      <c r="E68" s="39" t="str">
        <f>"A"</f>
        <v>A</v>
      </c>
      <c r="F68" s="39">
        <v>18</v>
      </c>
      <c r="G68" s="40"/>
      <c r="H68" s="39" t="s">
        <v>28</v>
      </c>
      <c r="I68" s="39"/>
    </row>
    <row r="69" spans="1:9" ht="26.25" x14ac:dyDescent="0.25">
      <c r="A69" s="39" t="s">
        <v>167</v>
      </c>
      <c r="B69" s="39" t="s">
        <v>168</v>
      </c>
      <c r="C69" s="39" t="s">
        <v>59</v>
      </c>
      <c r="D69" s="39">
        <v>4</v>
      </c>
      <c r="E69" s="39" t="str">
        <f>"A"</f>
        <v>A</v>
      </c>
      <c r="F69" s="39">
        <v>16</v>
      </c>
      <c r="G69" s="40"/>
      <c r="H69" s="39" t="s">
        <v>96</v>
      </c>
      <c r="I69" s="39"/>
    </row>
    <row r="70" spans="1:9" ht="26.25" x14ac:dyDescent="0.25">
      <c r="A70" s="39" t="s">
        <v>169</v>
      </c>
      <c r="B70" s="39" t="s">
        <v>170</v>
      </c>
      <c r="C70" s="39" t="s">
        <v>72</v>
      </c>
      <c r="D70" s="39">
        <v>4</v>
      </c>
      <c r="E70" s="39" t="str">
        <f>"A"</f>
        <v>A</v>
      </c>
      <c r="F70" s="39">
        <v>16</v>
      </c>
      <c r="G70" s="40"/>
      <c r="H70" s="40"/>
      <c r="I70" s="39"/>
    </row>
  </sheetData>
  <pageMargins left="0.7" right="0.7" top="0.75" bottom="0.75" header="0.3" footer="0.3"/>
  <pageSetup orientation="portrait" horizontalDpi="4294967292" verticalDpi="4294967292" r:id="rId1"/>
  <headerFooter alignWithMargins="0"/>
  <drawing r:id="rId2"/>
  <legacyDrawing r:id="rId3"/>
  <controls>
    <mc:AlternateContent xmlns:mc="http://schemas.openxmlformats.org/markup-compatibility/2006">
      <mc:Choice Requires="x14">
        <control shapeId="2050" r:id="rId4" name="CommandButton1">
          <controlPr defaultSize="0" autoLine="0" r:id="rId5">
            <anchor moveWithCells="1">
              <from>
                <xdr:col>9</xdr:col>
                <xdr:colOff>238125</xdr:colOff>
                <xdr:row>6</xdr:row>
                <xdr:rowOff>19050</xdr:rowOff>
              </from>
              <to>
                <xdr:col>16</xdr:col>
                <xdr:colOff>85725</xdr:colOff>
                <xdr:row>16</xdr:row>
                <xdr:rowOff>76200</xdr:rowOff>
              </to>
            </anchor>
          </controlPr>
        </control>
      </mc:Choice>
      <mc:Fallback>
        <control shapeId="2050"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10</vt:i4>
      </vt:variant>
    </vt:vector>
  </HeadingPairs>
  <TitlesOfParts>
    <vt:vector size="14" baseType="lpstr">
      <vt:lpstr>Major check</vt:lpstr>
      <vt:lpstr>Resources</vt:lpstr>
      <vt:lpstr>Pulldown Tabs</vt:lpstr>
      <vt:lpstr>Trancscript</vt:lpstr>
      <vt:lpstr>CatalogYear</vt:lpstr>
      <vt:lpstr>Chair</vt:lpstr>
      <vt:lpstr>'Pulldown Tabs'!Criteria</vt:lpstr>
      <vt:lpstr>Faculty</vt:lpstr>
      <vt:lpstr>GradYear</vt:lpstr>
      <vt:lpstr>Option</vt:lpstr>
      <vt:lpstr>Options</vt:lpstr>
      <vt:lpstr>'Major check'!Print_Area</vt:lpstr>
      <vt:lpstr>SSC</vt:lpstr>
      <vt:lpstr>Transcript</vt:lpstr>
    </vt:vector>
  </TitlesOfParts>
  <Company>CSUEB</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natz</dc:creator>
  <cp:lastModifiedBy>natz</cp:lastModifiedBy>
  <cp:lastPrinted>2014-11-26T18:48:36Z</cp:lastPrinted>
  <dcterms:created xsi:type="dcterms:W3CDTF">2010-06-28T17:24:42Z</dcterms:created>
  <dcterms:modified xsi:type="dcterms:W3CDTF">2015-11-01T05:30:02Z</dcterms:modified>
</cp:coreProperties>
</file>